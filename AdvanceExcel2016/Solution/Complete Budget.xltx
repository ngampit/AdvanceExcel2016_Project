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G:\Joanne Atha\Current as of Nov 8-05\COMP 2364 - Joanne\Current 201830\Assignment 4 and 2\"/>
    </mc:Choice>
  </mc:AlternateContent>
  <bookViews>
    <workbookView xWindow="0" yWindow="0" windowWidth="19200" windowHeight="6975"/>
  </bookViews>
  <sheets>
    <sheet name="Budget" sheetId="1" r:id="rId1"/>
  </sheets>
  <definedNames>
    <definedName name="calendar">[0]!daygrid+[0]!firstdate-WEEKDAY([0]!firstdate)-[0]!weekday_option</definedName>
    <definedName name="daygrid">days+weeks*7</definedName>
    <definedName name="daypattern">{1,1,2,2,3,3,4,4,5,5,6,6,7}</definedName>
    <definedName name="days">{0,1,2,3,4,5,6}</definedName>
    <definedName name="DayToStart">#REF!</definedName>
    <definedName name="firstdate">DATE([0]!YearToDisplay,[0]!month,1)</definedName>
    <definedName name="month">MATCH([0]!MonthToDisplay,months,0)</definedName>
    <definedName name="months">{"January","February","March","April","May","June","July","August","September","October","November","December"}</definedName>
    <definedName name="MonthToDisplay">#REF!</definedName>
    <definedName name="MonthToDisplayNumber">MATCH([0]!MonthToDisplay,months,0)</definedName>
    <definedName name="QI">Budget!$B$27</definedName>
    <definedName name="weekday_option">MATCH(DayToStart,weekdays_reversed,0)-2</definedName>
    <definedName name="weekdays">{"Monday","Tuesday","Wednesday","Thursday","Friday","Saturday","Sunday"}</definedName>
    <definedName name="weekdays_reversed">{"Sunday","Saturday","Friday","Thursday","Wednesday","Tuesday","Monday"}</definedName>
    <definedName name="weeks">{0;1;2;3;4;5;6}</definedName>
    <definedName name="YearToDisplay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E16" i="1"/>
  <c r="F16" i="1" s="1"/>
  <c r="G16" i="1" s="1"/>
  <c r="H16" i="1" s="1"/>
  <c r="I16" i="1" s="1"/>
  <c r="J16" i="1" s="1"/>
  <c r="K16" i="1" s="1"/>
  <c r="L16" i="1" s="1"/>
  <c r="M16" i="1" s="1"/>
  <c r="C16" i="1"/>
  <c r="C17" i="1" l="1"/>
  <c r="D17" i="1" s="1"/>
  <c r="E17" i="1" s="1"/>
  <c r="C22" i="1"/>
  <c r="D22" i="1" s="1"/>
  <c r="E22" i="1" s="1"/>
  <c r="F22" i="1" s="1"/>
  <c r="G22" i="1" s="1"/>
  <c r="H22" i="1" s="1"/>
  <c r="I22" i="1" s="1"/>
  <c r="J22" i="1" s="1"/>
  <c r="K22" i="1" s="1"/>
  <c r="L22" i="1" s="1"/>
  <c r="M22" i="1" s="1"/>
  <c r="C20" i="1"/>
  <c r="D20" i="1" s="1"/>
  <c r="C19" i="1"/>
  <c r="D19" i="1" s="1"/>
  <c r="E19" i="1" s="1"/>
  <c r="F19" i="1" s="1"/>
  <c r="G19" i="1" s="1"/>
  <c r="H19" i="1" s="1"/>
  <c r="I19" i="1" s="1"/>
  <c r="J19" i="1" s="1"/>
  <c r="K19" i="1" s="1"/>
  <c r="L19" i="1" s="1"/>
  <c r="M19" i="1" s="1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C15" i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C14" i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C13" i="1"/>
  <c r="D13" i="1" s="1"/>
  <c r="E13" i="1" s="1"/>
  <c r="F13" i="1" s="1"/>
  <c r="C12" i="1"/>
  <c r="D12" i="1" s="1"/>
  <c r="E12" i="1" s="1"/>
  <c r="F12" i="1" s="1"/>
  <c r="G12" i="1" s="1"/>
  <c r="H12" i="1" s="1"/>
  <c r="I12" i="1" s="1"/>
  <c r="J12" i="1" s="1"/>
  <c r="K12" i="1" s="1"/>
  <c r="L12" i="1" s="1"/>
  <c r="M12" i="1" s="1"/>
  <c r="C11" i="1"/>
  <c r="D11" i="1" s="1"/>
  <c r="E11" i="1" s="1"/>
  <c r="F11" i="1" s="1"/>
  <c r="G11" i="1" s="1"/>
  <c r="C5" i="1"/>
  <c r="D5" i="1" s="1"/>
  <c r="B24" i="1"/>
  <c r="B8" i="1"/>
  <c r="E20" i="1" l="1"/>
  <c r="F20" i="1" s="1"/>
  <c r="G20" i="1" s="1"/>
  <c r="H20" i="1" s="1"/>
  <c r="I20" i="1" s="1"/>
  <c r="J20" i="1" s="1"/>
  <c r="F17" i="1"/>
  <c r="G17" i="1" s="1"/>
  <c r="C8" i="1"/>
  <c r="B26" i="1"/>
  <c r="G13" i="1"/>
  <c r="H13" i="1" s="1"/>
  <c r="I13" i="1" s="1"/>
  <c r="J13" i="1" s="1"/>
  <c r="K13" i="1" s="1"/>
  <c r="L13" i="1" s="1"/>
  <c r="M13" i="1" s="1"/>
  <c r="D8" i="1"/>
  <c r="E5" i="1"/>
  <c r="H11" i="1"/>
  <c r="I11" i="1" s="1"/>
  <c r="J11" i="1" s="1"/>
  <c r="K11" i="1" s="1"/>
  <c r="D24" i="1"/>
  <c r="C24" i="1"/>
  <c r="C26" i="1" l="1"/>
  <c r="D26" i="1" s="1"/>
  <c r="G24" i="1"/>
  <c r="E24" i="1"/>
  <c r="K20" i="1"/>
  <c r="L20" i="1" s="1"/>
  <c r="M20" i="1" s="1"/>
  <c r="F24" i="1"/>
  <c r="H17" i="1"/>
  <c r="I17" i="1" s="1"/>
  <c r="E8" i="1"/>
  <c r="F5" i="1"/>
  <c r="L11" i="1"/>
  <c r="H24" i="1" l="1"/>
  <c r="J17" i="1"/>
  <c r="I24" i="1"/>
  <c r="F8" i="1"/>
  <c r="G5" i="1"/>
  <c r="E26" i="1"/>
  <c r="M11" i="1"/>
  <c r="F26" i="1" l="1"/>
  <c r="K17" i="1"/>
  <c r="K24" i="1" s="1"/>
  <c r="J24" i="1"/>
  <c r="H5" i="1"/>
  <c r="G8" i="1"/>
  <c r="G26" i="1" s="1"/>
  <c r="L17" i="1" l="1"/>
  <c r="H8" i="1"/>
  <c r="H26" i="1" s="1"/>
  <c r="I5" i="1"/>
  <c r="M17" i="1" l="1"/>
  <c r="M24" i="1" s="1"/>
  <c r="L24" i="1"/>
  <c r="J5" i="1"/>
  <c r="I8" i="1"/>
  <c r="I26" i="1" s="1"/>
  <c r="K5" i="1" l="1"/>
  <c r="J8" i="1"/>
  <c r="J26" i="1" s="1"/>
  <c r="K8" i="1" l="1"/>
  <c r="K26" i="1" s="1"/>
  <c r="L5" i="1"/>
  <c r="M5" i="1" l="1"/>
  <c r="M8" i="1" s="1"/>
  <c r="L8" i="1"/>
  <c r="L26" i="1" s="1"/>
  <c r="M26" i="1" s="1"/>
</calcChain>
</file>

<file path=xl/sharedStrings.xml><?xml version="1.0" encoding="utf-8"?>
<sst xmlns="http://schemas.openxmlformats.org/spreadsheetml/2006/main" count="43" uniqueCount="43">
  <si>
    <t>Personal Budget</t>
  </si>
  <si>
    <t>Income</t>
  </si>
  <si>
    <t>Expenses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</si>
  <si>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</si>
  <si>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</si>
  <si>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</si>
  <si>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</si>
  <si>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</si>
  <si>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</si>
  <si>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</si>
  <si>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</si>
  <si>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</si>
  <si>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</si>
  <si>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</si>
  <si>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</si>
  <si>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Salary</t>
  </si>
  <si>
    <t>Interest/Dividends</t>
  </si>
  <si>
    <t>Other</t>
  </si>
  <si>
    <t>Cell Phone</t>
  </si>
  <si>
    <t>Internet</t>
  </si>
  <si>
    <t>Property Insurance</t>
  </si>
  <si>
    <t>Car Insurance</t>
  </si>
  <si>
    <t>Groceries</t>
  </si>
  <si>
    <t>Dining/Entertainment</t>
  </si>
  <si>
    <t>Household</t>
  </si>
  <si>
    <t xml:space="preserve">Total Income </t>
  </si>
  <si>
    <t>Total Expenses</t>
  </si>
  <si>
    <t>RRSP</t>
  </si>
  <si>
    <t>Accumulated Balance</t>
  </si>
  <si>
    <t>Miscellaneous</t>
  </si>
  <si>
    <t>Clothing</t>
  </si>
  <si>
    <t>Quarterly Increase:</t>
  </si>
  <si>
    <t>Gas</t>
  </si>
  <si>
    <t>Balance Carry-Forward</t>
  </si>
  <si>
    <t>Mortgage/Rent</t>
  </si>
  <si>
    <t>Electricity/Hydro</t>
  </si>
  <si>
    <t>Is the starting balance there?</t>
  </si>
  <si>
    <t>10% assumption area</t>
  </si>
  <si>
    <t>running monthly balance</t>
  </si>
  <si>
    <t>Are some cells locked and some unlocked</t>
  </si>
  <si>
    <t>or is the entire workbook/worksheet locked</t>
  </si>
  <si>
    <t>Is this saved as an .xltx?</t>
  </si>
  <si>
    <t>Is there a footer?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</si>
</sst>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-* #,##0_-;\-* #,##0_-;_-* &quot;-&quot;??_-;_-@_-"/>
    <numFmt numFmtId="165" formatCode="#,##0;[Red]#,##0"/>
    <numFmt numFmtId="166" formatCode="dd"/>
    <numFmt numFmtId="167" formatCode="aaaa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b/>
      <sz val="14"/>
      <color theme="1"/>
      <name val="Bookman Old Style"/>
      <family val="1"/>
    </font>
    <font>
      <b/>
      <sz val="18"/>
      <color theme="1"/>
      <name val="Bookman Old Style"/>
      <family val="1"/>
    </font>
    <font>
      <b/>
      <sz val="11"/>
      <color theme="1"/>
      <name val="Bookman Old Style"/>
      <family val="1"/>
    </font>
    <font>
      <sz val="9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 tint="0.34998626667073579"/>
      <name val="Calibri"/>
      <family val="2"/>
      <scheme val="minor"/>
    </font>
    <font>
      <sz val="32"/>
      <color theme="3"/>
      <name val="Calibri Light"/>
      <family val="2"/>
      <scheme val="major"/>
    </font>
    <font>
      <sz val="32"/>
      <color theme="4" tint="-0.24994659260841701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1" tint="0.14996795556505021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1" fillId="0" borderId="0" applyBorder="0">
      <alignment vertical="top"/>
    </xf>
    <xf numFmtId="0" fontId="6" fillId="0" borderId="1">
      <alignment vertical="top" wrapText="1"/>
    </xf>
    <xf numFmtId="166" fontId="7" fillId="0" borderId="2" applyFill="0" applyProtection="0">
      <alignment horizontal="right" vertical="center" indent="1"/>
    </xf>
    <xf numFmtId="167" fontId="8" fillId="0" borderId="3" applyFill="0" applyProtection="0">
      <alignment horizontal="center" vertical="center"/>
    </xf>
    <xf numFmtId="0" fontId="9" fillId="0" borderId="0" applyFill="0" applyBorder="0" applyProtection="0">
      <alignment horizontal="right" vertical="top"/>
    </xf>
    <xf numFmtId="0" fontId="9" fillId="0" borderId="0" applyNumberFormat="0" applyFill="0" applyBorder="0" applyProtection="0">
      <alignment vertical="top"/>
    </xf>
    <xf numFmtId="0" fontId="7" fillId="0" borderId="0" applyNumberFormat="0" applyProtection="0">
      <alignment horizontal="right"/>
    </xf>
    <xf numFmtId="0" fontId="10" fillId="0" borderId="0" applyProtection="0">
      <alignment horizontal="left"/>
    </xf>
    <xf numFmtId="0" fontId="11" fillId="0" borderId="0" applyNumberFormat="0" applyProtection="0">
      <alignment horizontal="left"/>
    </xf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164" fontId="2" fillId="0" borderId="0" xfId="1" applyNumberFormat="1" applyFont="1"/>
    <xf numFmtId="0" fontId="5" fillId="2" borderId="0" xfId="0" applyFont="1" applyFill="1"/>
    <xf numFmtId="165" fontId="2" fillId="0" borderId="0" xfId="1" applyNumberFormat="1" applyFont="1"/>
    <xf numFmtId="165" fontId="2" fillId="2" borderId="0" xfId="1" applyNumberFormat="1" applyFont="1" applyFill="1"/>
    <xf numFmtId="165" fontId="2" fillId="0" borderId="0" xfId="0" applyNumberFormat="1" applyFont="1"/>
    <xf numFmtId="165" fontId="3" fillId="2" borderId="0" xfId="0" applyNumberFormat="1" applyFont="1" applyFill="1"/>
    <xf numFmtId="0" fontId="3" fillId="0" borderId="0" xfId="0" applyFont="1" applyAlignment="1">
      <alignment horizontal="right"/>
    </xf>
    <xf numFmtId="165" fontId="2" fillId="0" borderId="0" xfId="1" applyNumberFormat="1" applyFont="1" applyProtection="1">
      <protection locked="0"/>
    </xf>
    <xf numFmtId="0" fontId="2" fillId="0" borderId="0" xfId="0" applyFont="1" applyProtection="1">
      <protection locked="0"/>
    </xf>
    <xf numFmtId="0" fontId="4" fillId="2" borderId="0" xfId="0" applyFont="1" applyFill="1"/>
    <xf numFmtId="165" fontId="2" fillId="0" borderId="0" xfId="1" applyNumberFormat="1" applyFont="1" applyProtection="1"/>
    <xf numFmtId="165" fontId="2" fillId="3" borderId="0" xfId="1" applyNumberFormat="1" applyFont="1" applyFill="1" applyProtection="1">
      <protection locked="0"/>
    </xf>
    <xf numFmtId="164" fontId="2" fillId="3" borderId="0" xfId="1" applyNumberFormat="1" applyFont="1" applyFill="1"/>
    <xf numFmtId="9" fontId="2" fillId="5" borderId="0" xfId="1" applyNumberFormat="1" applyFont="1" applyFill="1" applyProtection="1">
      <protection locked="0"/>
    </xf>
    <xf numFmtId="164" fontId="2" fillId="5" borderId="0" xfId="1" applyNumberFormat="1" applyFont="1" applyFill="1"/>
    <xf numFmtId="165" fontId="2" fillId="5" borderId="0" xfId="1" applyNumberFormat="1" applyFont="1" applyFill="1" applyProtection="1">
      <protection locked="0"/>
    </xf>
    <xf numFmtId="165" fontId="2" fillId="5" borderId="0" xfId="1" applyNumberFormat="1" applyFont="1" applyFill="1" applyProtection="1"/>
    <xf numFmtId="164" fontId="2" fillId="4" borderId="0" xfId="1" applyNumberFormat="1" applyFont="1" applyFill="1"/>
    <xf numFmtId="164" fontId="2" fillId="6" borderId="0" xfId="1" applyNumberFormat="1" applyFont="1" applyFill="1"/>
    <xf numFmtId="165" fontId="2" fillId="6" borderId="0" xfId="1" applyNumberFormat="1" applyFont="1" applyFill="1"/>
    <xf numFmtId="164" fontId="2" fillId="2" borderId="0" xfId="1" applyNumberFormat="1" applyFont="1" applyFill="1"/>
  </cellXfs>
  <cellStyles count="11">
    <cellStyle name="Comma" xfId="1" builtinId="3"/>
    <cellStyle name="DayDescriptions" xfId="3"/>
    <cellStyle name="Heading 1 2" xfId="10"/>
    <cellStyle name="Heading 2 2" xfId="8"/>
    <cellStyle name="Heading 3 2" xfId="5"/>
    <cellStyle name="Heading 4 2" xfId="4"/>
    <cellStyle name="Input Label Left aligned" xfId="7"/>
    <cellStyle name="Input Label Right aligned" xfId="6"/>
    <cellStyle name="Normal" xfId="0" builtinId="0"/>
    <cellStyle name="Normal 2" xfId="2"/>
    <cellStyle name="Title 2" xfId="9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257175</xdr:colOff>
      <xdr:row>0</xdr:row>
      <xdr:rowOff>276225</xdr:rowOff>
    </xdr:from>
    <xdr:to>
      <xdr:col>18</xdr:col>
      <xdr:colOff>238125</xdr:colOff>
      <xdr:row>19</xdr:row>
      <xdr:rowOff>114300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922" t="12225" r="52049" b="52031"/>
        <a:stretch/>
      </xdr:blipFill>
      <xdr:spPr>
        <a:xfrm>
          <a:off x="11677650" y="276225"/>
          <a:ext cx="1724025" cy="3676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44"/>
  <sheetViews>
    <sheetView tabSelected="1" zoomScaleNormal="100" workbookViewId="0">
      <selection activeCell="B5" sqref="B5"/>
    </sheetView>
  </sheetViews>
  <sheetFormatPr defaultColWidth="8.7109375" defaultRowHeight="15" x14ac:dyDescent="0.25"/>
  <cols>
    <col min="1" max="1" width="27" style="1" bestFit="1" customWidth="1"/>
    <col min="2" max="13" width="10.5703125" style="1" customWidth="1"/>
    <col min="14" max="16384" width="8.7109375" style="1"/>
  </cols>
  <sheetData>
    <row r="1" spans="1:13" ht="23.25" x14ac:dyDescent="0.3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3" spans="1:13" s="2" customFormat="1" ht="18" x14ac:dyDescent="0.25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I3" s="10" t="s">
        <v>10</v>
      </c>
      <c r="J3" s="10" t="s">
        <v>11</v>
      </c>
      <c r="K3" s="10" t="s">
        <v>12</v>
      </c>
      <c r="L3" s="10" t="s">
        <v>13</v>
      </c>
      <c r="M3" s="10" t="s">
        <v>14</v>
      </c>
    </row>
    <row r="4" spans="1:13" s="2" customFormat="1" ht="18" x14ac:dyDescent="0.25">
      <c r="A4" s="3" t="s">
        <v>1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3" x14ac:dyDescent="0.25">
      <c r="A5" s="1" t="s">
        <v>15</v>
      </c>
      <c r="B5" s="11">
        <v>5000</v>
      </c>
      <c r="C5" s="11">
        <f>B5</f>
        <v>5000</v>
      </c>
      <c r="D5" s="11">
        <f t="shared" ref="D5:M5" si="0">C5</f>
        <v>5000</v>
      </c>
      <c r="E5" s="11">
        <f t="shared" si="0"/>
        <v>5000</v>
      </c>
      <c r="F5" s="11">
        <f t="shared" si="0"/>
        <v>5000</v>
      </c>
      <c r="G5" s="11">
        <f t="shared" si="0"/>
        <v>5000</v>
      </c>
      <c r="H5" s="11">
        <f t="shared" si="0"/>
        <v>5000</v>
      </c>
      <c r="I5" s="11">
        <f t="shared" si="0"/>
        <v>5000</v>
      </c>
      <c r="J5" s="11">
        <f t="shared" si="0"/>
        <v>5000</v>
      </c>
      <c r="K5" s="11">
        <f t="shared" si="0"/>
        <v>5000</v>
      </c>
      <c r="L5" s="11">
        <f t="shared" si="0"/>
        <v>5000</v>
      </c>
      <c r="M5" s="11">
        <f t="shared" si="0"/>
        <v>5000</v>
      </c>
    </row>
    <row r="6" spans="1:13" x14ac:dyDescent="0.25">
      <c r="A6" s="1" t="s">
        <v>16</v>
      </c>
      <c r="B6" s="11"/>
      <c r="C6" s="11"/>
      <c r="D6" s="11">
        <v>300</v>
      </c>
      <c r="E6" s="11"/>
      <c r="F6" s="11"/>
      <c r="G6" s="11">
        <v>300</v>
      </c>
      <c r="H6" s="11"/>
      <c r="I6" s="11"/>
      <c r="J6" s="11">
        <v>300</v>
      </c>
      <c r="K6" s="11"/>
      <c r="L6" s="11"/>
      <c r="M6" s="11">
        <v>300</v>
      </c>
    </row>
    <row r="7" spans="1:13" x14ac:dyDescent="0.25">
      <c r="A7" s="12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</row>
    <row r="8" spans="1:13" x14ac:dyDescent="0.25">
      <c r="A8" s="5" t="s">
        <v>25</v>
      </c>
      <c r="B8" s="7">
        <f>SUM(B5:B7)</f>
        <v>5000</v>
      </c>
      <c r="C8" s="7">
        <f>SUM(C5:C7)</f>
        <v>5000</v>
      </c>
      <c r="D8" s="7">
        <f>SUM(D5:D7)</f>
        <v>5300</v>
      </c>
      <c r="E8" s="7">
        <f>SUM(E5:E7)</f>
        <v>5000</v>
      </c>
      <c r="F8" s="7">
        <f>SUM(F5:F7)</f>
        <v>5000</v>
      </c>
      <c r="G8" s="7">
        <f>SUM(G5:G7)</f>
        <v>5300</v>
      </c>
      <c r="H8" s="7">
        <f>SUM(H5:H7)</f>
        <v>5000</v>
      </c>
      <c r="I8" s="7">
        <f>SUM(I5:I7)</f>
        <v>5000</v>
      </c>
      <c r="J8" s="7">
        <f>SUM(J5:J7)</f>
        <v>5300</v>
      </c>
      <c r="K8" s="7">
        <f>SUM(K5:K7)</f>
        <v>5000</v>
      </c>
      <c r="L8" s="7">
        <f>SUM(L5:L7)</f>
        <v>5000</v>
      </c>
      <c r="M8" s="7">
        <f>SUM(M5:M7)</f>
        <v>5300</v>
      </c>
    </row>
    <row r="9" spans="1:13" x14ac:dyDescent="0.2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</row>
    <row r="10" spans="1:13" ht="18" x14ac:dyDescent="0.25">
      <c r="A10" s="3" t="s">
        <v>2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</row>
    <row r="11" spans="1:13" x14ac:dyDescent="0.25">
      <c r="A11" s="1" t="s">
        <v>34</v>
      </c>
      <c r="B11" s="11">
        <v>1200</v>
      </c>
      <c r="C11" s="11">
        <f>B11</f>
        <v>1200</v>
      </c>
      <c r="D11" s="11">
        <f t="shared" ref="D11:M16" si="1">C11</f>
        <v>1200</v>
      </c>
      <c r="E11" s="11">
        <f t="shared" si="1"/>
        <v>1200</v>
      </c>
      <c r="F11" s="11">
        <f t="shared" si="1"/>
        <v>1200</v>
      </c>
      <c r="G11" s="11">
        <f t="shared" si="1"/>
        <v>1200</v>
      </c>
      <c r="H11" s="11">
        <f t="shared" si="1"/>
        <v>1200</v>
      </c>
      <c r="I11" s="11">
        <f t="shared" si="1"/>
        <v>1200</v>
      </c>
      <c r="J11" s="11">
        <f t="shared" si="1"/>
        <v>1200</v>
      </c>
      <c r="K11" s="11">
        <f t="shared" si="1"/>
        <v>1200</v>
      </c>
      <c r="L11" s="11">
        <f t="shared" si="1"/>
        <v>1200</v>
      </c>
      <c r="M11" s="11">
        <f t="shared" si="1"/>
        <v>1200</v>
      </c>
    </row>
    <row r="12" spans="1:13" x14ac:dyDescent="0.25">
      <c r="A12" s="1" t="s">
        <v>35</v>
      </c>
      <c r="B12" s="11">
        <v>50</v>
      </c>
      <c r="C12" s="11">
        <f>B12</f>
        <v>50</v>
      </c>
      <c r="D12" s="11">
        <f t="shared" si="1"/>
        <v>50</v>
      </c>
      <c r="E12" s="11">
        <f t="shared" si="1"/>
        <v>50</v>
      </c>
      <c r="F12" s="11">
        <f t="shared" si="1"/>
        <v>50</v>
      </c>
      <c r="G12" s="11">
        <f t="shared" si="1"/>
        <v>50</v>
      </c>
      <c r="H12" s="11">
        <f t="shared" si="1"/>
        <v>50</v>
      </c>
      <c r="I12" s="11">
        <f t="shared" si="1"/>
        <v>50</v>
      </c>
      <c r="J12" s="11">
        <f t="shared" si="1"/>
        <v>50</v>
      </c>
      <c r="K12" s="11">
        <f t="shared" si="1"/>
        <v>50</v>
      </c>
      <c r="L12" s="11">
        <f t="shared" si="1"/>
        <v>50</v>
      </c>
      <c r="M12" s="11">
        <f t="shared" si="1"/>
        <v>50</v>
      </c>
    </row>
    <row r="13" spans="1:13" x14ac:dyDescent="0.25">
      <c r="A13" s="1" t="s">
        <v>18</v>
      </c>
      <c r="B13" s="11">
        <v>50</v>
      </c>
      <c r="C13" s="11">
        <f>B13</f>
        <v>50</v>
      </c>
      <c r="D13" s="11">
        <f t="shared" si="1"/>
        <v>50</v>
      </c>
      <c r="E13" s="11">
        <f t="shared" si="1"/>
        <v>50</v>
      </c>
      <c r="F13" s="11">
        <f t="shared" si="1"/>
        <v>50</v>
      </c>
      <c r="G13" s="11">
        <f t="shared" si="1"/>
        <v>50</v>
      </c>
      <c r="H13" s="11">
        <f t="shared" si="1"/>
        <v>50</v>
      </c>
      <c r="I13" s="11">
        <f t="shared" si="1"/>
        <v>50</v>
      </c>
      <c r="J13" s="11">
        <f t="shared" si="1"/>
        <v>50</v>
      </c>
      <c r="K13" s="11">
        <f t="shared" si="1"/>
        <v>50</v>
      </c>
      <c r="L13" s="11">
        <f t="shared" si="1"/>
        <v>50</v>
      </c>
      <c r="M13" s="11">
        <f t="shared" si="1"/>
        <v>50</v>
      </c>
    </row>
    <row r="14" spans="1:13" x14ac:dyDescent="0.25">
      <c r="A14" s="1" t="s">
        <v>19</v>
      </c>
      <c r="B14" s="11">
        <v>50</v>
      </c>
      <c r="C14" s="11">
        <f>B14</f>
        <v>50</v>
      </c>
      <c r="D14" s="11">
        <f t="shared" si="1"/>
        <v>50</v>
      </c>
      <c r="E14" s="11">
        <f t="shared" si="1"/>
        <v>50</v>
      </c>
      <c r="F14" s="11">
        <f t="shared" si="1"/>
        <v>50</v>
      </c>
      <c r="G14" s="11">
        <f t="shared" si="1"/>
        <v>50</v>
      </c>
      <c r="H14" s="11">
        <f t="shared" si="1"/>
        <v>50</v>
      </c>
      <c r="I14" s="11">
        <f t="shared" si="1"/>
        <v>50</v>
      </c>
      <c r="J14" s="11">
        <f t="shared" si="1"/>
        <v>50</v>
      </c>
      <c r="K14" s="11">
        <f t="shared" si="1"/>
        <v>50</v>
      </c>
      <c r="L14" s="11">
        <f t="shared" si="1"/>
        <v>50</v>
      </c>
      <c r="M14" s="11">
        <f t="shared" si="1"/>
        <v>50</v>
      </c>
    </row>
    <row r="15" spans="1:13" x14ac:dyDescent="0.25">
      <c r="A15" s="1" t="s">
        <v>20</v>
      </c>
      <c r="B15" s="11">
        <v>50</v>
      </c>
      <c r="C15" s="11">
        <f>B15</f>
        <v>50</v>
      </c>
      <c r="D15" s="11">
        <f t="shared" si="1"/>
        <v>50</v>
      </c>
      <c r="E15" s="11">
        <f t="shared" si="1"/>
        <v>50</v>
      </c>
      <c r="F15" s="11">
        <f t="shared" si="1"/>
        <v>50</v>
      </c>
      <c r="G15" s="11">
        <f t="shared" si="1"/>
        <v>50</v>
      </c>
      <c r="H15" s="11">
        <f t="shared" si="1"/>
        <v>50</v>
      </c>
      <c r="I15" s="11">
        <f t="shared" si="1"/>
        <v>50</v>
      </c>
      <c r="J15" s="11">
        <f t="shared" si="1"/>
        <v>50</v>
      </c>
      <c r="K15" s="11">
        <f t="shared" si="1"/>
        <v>50</v>
      </c>
      <c r="L15" s="11">
        <f t="shared" si="1"/>
        <v>50</v>
      </c>
      <c r="M15" s="11">
        <f t="shared" si="1"/>
        <v>50</v>
      </c>
    </row>
    <row r="16" spans="1:13" x14ac:dyDescent="0.25">
      <c r="A16" s="1" t="s">
        <v>21</v>
      </c>
      <c r="B16" s="11">
        <v>150</v>
      </c>
      <c r="C16" s="11">
        <f>B16</f>
        <v>150</v>
      </c>
      <c r="D16" s="11">
        <f t="shared" si="1"/>
        <v>150</v>
      </c>
      <c r="E16" s="11">
        <f t="shared" si="1"/>
        <v>150</v>
      </c>
      <c r="F16" s="11">
        <f t="shared" si="1"/>
        <v>150</v>
      </c>
      <c r="G16" s="11">
        <f t="shared" si="1"/>
        <v>150</v>
      </c>
      <c r="H16" s="11">
        <f t="shared" si="1"/>
        <v>150</v>
      </c>
      <c r="I16" s="11">
        <f t="shared" si="1"/>
        <v>150</v>
      </c>
      <c r="J16" s="11">
        <f t="shared" si="1"/>
        <v>150</v>
      </c>
      <c r="K16" s="11">
        <f t="shared" si="1"/>
        <v>150</v>
      </c>
      <c r="L16" s="11">
        <f t="shared" si="1"/>
        <v>150</v>
      </c>
      <c r="M16" s="11">
        <f t="shared" si="1"/>
        <v>150</v>
      </c>
    </row>
    <row r="17" spans="1:13" x14ac:dyDescent="0.25">
      <c r="A17" s="1" t="s">
        <v>32</v>
      </c>
      <c r="B17" s="11">
        <v>100</v>
      </c>
      <c r="C17" s="11">
        <f>B17</f>
        <v>100</v>
      </c>
      <c r="D17" s="11">
        <f t="shared" ref="D17:M17" si="2">C17</f>
        <v>100</v>
      </c>
      <c r="E17" s="19">
        <f>D17*(1+QI)</f>
        <v>110.00000000000001</v>
      </c>
      <c r="F17" s="11">
        <f t="shared" si="2"/>
        <v>110.00000000000001</v>
      </c>
      <c r="G17" s="11">
        <f t="shared" si="2"/>
        <v>110.00000000000001</v>
      </c>
      <c r="H17" s="19">
        <f>G17*(1+QI)</f>
        <v>121.00000000000003</v>
      </c>
      <c r="I17" s="11">
        <f t="shared" si="2"/>
        <v>121.00000000000003</v>
      </c>
      <c r="J17" s="11">
        <f t="shared" si="2"/>
        <v>121.00000000000003</v>
      </c>
      <c r="K17" s="19">
        <f>J17*(1+QI)</f>
        <v>133.10000000000005</v>
      </c>
      <c r="L17" s="11">
        <f t="shared" si="2"/>
        <v>133.10000000000005</v>
      </c>
      <c r="M17" s="11">
        <f t="shared" si="2"/>
        <v>133.10000000000005</v>
      </c>
    </row>
    <row r="18" spans="1:13" x14ac:dyDescent="0.25">
      <c r="A18" s="1" t="s">
        <v>22</v>
      </c>
      <c r="B18" s="11">
        <v>400</v>
      </c>
      <c r="C18" s="11">
        <f>B18</f>
        <v>400</v>
      </c>
      <c r="D18" s="11">
        <f t="shared" ref="D18:M20" si="3">C18</f>
        <v>400</v>
      </c>
      <c r="E18" s="11">
        <f t="shared" si="3"/>
        <v>400</v>
      </c>
      <c r="F18" s="11">
        <f t="shared" si="3"/>
        <v>400</v>
      </c>
      <c r="G18" s="11">
        <f t="shared" si="3"/>
        <v>400</v>
      </c>
      <c r="H18" s="11">
        <f t="shared" si="3"/>
        <v>400</v>
      </c>
      <c r="I18" s="11">
        <f t="shared" si="3"/>
        <v>400</v>
      </c>
      <c r="J18" s="11">
        <f t="shared" si="3"/>
        <v>400</v>
      </c>
      <c r="K18" s="11">
        <f t="shared" si="3"/>
        <v>400</v>
      </c>
      <c r="L18" s="11">
        <f t="shared" si="3"/>
        <v>400</v>
      </c>
      <c r="M18" s="11">
        <f t="shared" si="3"/>
        <v>400</v>
      </c>
    </row>
    <row r="19" spans="1:13" x14ac:dyDescent="0.25">
      <c r="A19" s="1" t="s">
        <v>23</v>
      </c>
      <c r="B19" s="11">
        <v>500</v>
      </c>
      <c r="C19" s="11">
        <f>B19</f>
        <v>500</v>
      </c>
      <c r="D19" s="11">
        <f t="shared" si="3"/>
        <v>500</v>
      </c>
      <c r="E19" s="11">
        <f t="shared" si="3"/>
        <v>500</v>
      </c>
      <c r="F19" s="11">
        <f t="shared" si="3"/>
        <v>500</v>
      </c>
      <c r="G19" s="11">
        <f t="shared" si="3"/>
        <v>500</v>
      </c>
      <c r="H19" s="11">
        <f t="shared" si="3"/>
        <v>500</v>
      </c>
      <c r="I19" s="11">
        <f t="shared" si="3"/>
        <v>500</v>
      </c>
      <c r="J19" s="11">
        <f t="shared" si="3"/>
        <v>500</v>
      </c>
      <c r="K19" s="11">
        <f t="shared" si="3"/>
        <v>500</v>
      </c>
      <c r="L19" s="11">
        <f t="shared" si="3"/>
        <v>500</v>
      </c>
      <c r="M19" s="11">
        <f t="shared" si="3"/>
        <v>500</v>
      </c>
    </row>
    <row r="20" spans="1:13" x14ac:dyDescent="0.25">
      <c r="A20" s="1" t="s">
        <v>24</v>
      </c>
      <c r="B20" s="11">
        <v>200</v>
      </c>
      <c r="C20" s="11">
        <f>B20</f>
        <v>200</v>
      </c>
      <c r="D20" s="11">
        <f t="shared" si="3"/>
        <v>200</v>
      </c>
      <c r="E20" s="20">
        <f>D20*(1+QI)</f>
        <v>220.00000000000003</v>
      </c>
      <c r="F20" s="14">
        <f t="shared" si="3"/>
        <v>220.00000000000003</v>
      </c>
      <c r="G20" s="14">
        <f t="shared" si="3"/>
        <v>220.00000000000003</v>
      </c>
      <c r="H20" s="20">
        <f>G20*(1+QI)</f>
        <v>242.00000000000006</v>
      </c>
      <c r="I20" s="14">
        <f t="shared" si="3"/>
        <v>242.00000000000006</v>
      </c>
      <c r="J20" s="14">
        <f t="shared" si="3"/>
        <v>242.00000000000006</v>
      </c>
      <c r="K20" s="20">
        <f>J20*(1+QI)</f>
        <v>266.2000000000001</v>
      </c>
      <c r="L20" s="11">
        <f t="shared" si="3"/>
        <v>266.2000000000001</v>
      </c>
      <c r="M20" s="11">
        <f t="shared" si="3"/>
        <v>266.2000000000001</v>
      </c>
    </row>
    <row r="21" spans="1:13" x14ac:dyDescent="0.25">
      <c r="A21" s="1" t="s">
        <v>30</v>
      </c>
      <c r="B21" s="11">
        <v>200</v>
      </c>
      <c r="C21" s="11">
        <v>200</v>
      </c>
      <c r="D21" s="11">
        <v>200</v>
      </c>
      <c r="E21" s="11">
        <v>200</v>
      </c>
      <c r="F21" s="11">
        <v>200</v>
      </c>
      <c r="G21" s="11">
        <v>400</v>
      </c>
      <c r="H21" s="11">
        <v>200</v>
      </c>
      <c r="I21" s="11">
        <v>200</v>
      </c>
      <c r="J21" s="11">
        <v>200</v>
      </c>
      <c r="K21" s="11">
        <v>200</v>
      </c>
      <c r="L21" s="11">
        <v>500</v>
      </c>
      <c r="M21" s="11">
        <v>500</v>
      </c>
    </row>
    <row r="22" spans="1:13" x14ac:dyDescent="0.25">
      <c r="A22" s="1" t="s">
        <v>27</v>
      </c>
      <c r="B22" s="11">
        <v>800</v>
      </c>
      <c r="C22" s="11">
        <f>B22</f>
        <v>800</v>
      </c>
      <c r="D22" s="11">
        <f t="shared" ref="D22:M22" si="4">C22</f>
        <v>800</v>
      </c>
      <c r="E22" s="11">
        <f t="shared" si="4"/>
        <v>800</v>
      </c>
      <c r="F22" s="11">
        <f t="shared" si="4"/>
        <v>800</v>
      </c>
      <c r="G22" s="11">
        <f t="shared" si="4"/>
        <v>800</v>
      </c>
      <c r="H22" s="11">
        <f t="shared" si="4"/>
        <v>800</v>
      </c>
      <c r="I22" s="11">
        <f t="shared" si="4"/>
        <v>800</v>
      </c>
      <c r="J22" s="11">
        <f t="shared" si="4"/>
        <v>800</v>
      </c>
      <c r="K22" s="11">
        <f t="shared" si="4"/>
        <v>800</v>
      </c>
      <c r="L22" s="11">
        <f t="shared" si="4"/>
        <v>800</v>
      </c>
      <c r="M22" s="11">
        <f t="shared" si="4"/>
        <v>800</v>
      </c>
    </row>
    <row r="23" spans="1:13" x14ac:dyDescent="0.25">
      <c r="A23" s="12" t="s">
        <v>29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</row>
    <row r="24" spans="1:13" x14ac:dyDescent="0.25">
      <c r="A24" s="5" t="s">
        <v>26</v>
      </c>
      <c r="B24" s="7">
        <f>SUM(B11:B23)</f>
        <v>3750</v>
      </c>
      <c r="C24" s="7">
        <f>SUM(C11:C23)</f>
        <v>3750</v>
      </c>
      <c r="D24" s="7">
        <f>SUM(D11:D23)</f>
        <v>3750</v>
      </c>
      <c r="E24" s="7">
        <f>SUM(E11:E23)</f>
        <v>3780</v>
      </c>
      <c r="F24" s="7">
        <f>SUM(F11:F23)</f>
        <v>3780</v>
      </c>
      <c r="G24" s="7">
        <f>SUM(G11:G23)</f>
        <v>3980</v>
      </c>
      <c r="H24" s="7">
        <f>SUM(H11:H23)</f>
        <v>3813</v>
      </c>
      <c r="I24" s="7">
        <f>SUM(I11:I23)</f>
        <v>3813</v>
      </c>
      <c r="J24" s="7">
        <f>SUM(J11:J23)</f>
        <v>3813</v>
      </c>
      <c r="K24" s="7">
        <f>SUM(K11:K23)</f>
        <v>3849.3000000000006</v>
      </c>
      <c r="L24" s="7">
        <f>SUM(L11:L23)</f>
        <v>4149.3000000000011</v>
      </c>
      <c r="M24" s="7">
        <f>SUM(M11:M23)</f>
        <v>4149.3000000000011</v>
      </c>
    </row>
    <row r="25" spans="1:13" x14ac:dyDescent="0.25">
      <c r="A25" s="1" t="s">
        <v>33</v>
      </c>
      <c r="B25" s="15">
        <v>5000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5" t="s">
        <v>28</v>
      </c>
      <c r="B26" s="23">
        <f>B25+B8-B24</f>
        <v>6250</v>
      </c>
      <c r="C26" s="23">
        <f>B26+C8-C24</f>
        <v>7500</v>
      </c>
      <c r="D26" s="23">
        <f>C26+D8-D24</f>
        <v>9050</v>
      </c>
      <c r="E26" s="23">
        <f>D26+E8-E24</f>
        <v>10270</v>
      </c>
      <c r="F26" s="23">
        <f>E26+F8-F24</f>
        <v>11490</v>
      </c>
      <c r="G26" s="23">
        <f>F26+G8-G24</f>
        <v>12810</v>
      </c>
      <c r="H26" s="23">
        <f>G26+H8-H24</f>
        <v>13997</v>
      </c>
      <c r="I26" s="23">
        <f>H26+I8-I24</f>
        <v>15184</v>
      </c>
      <c r="J26" s="23">
        <f>I26+J8-J24</f>
        <v>16671</v>
      </c>
      <c r="K26" s="23">
        <f>J26+K8-K24</f>
        <v>17821.7</v>
      </c>
      <c r="L26" s="23">
        <f>K26+L8-L24</f>
        <v>18672.400000000001</v>
      </c>
      <c r="M26" s="23">
        <f>L26+M8-M24</f>
        <v>19823.099999999999</v>
      </c>
    </row>
    <row r="27" spans="1:13" x14ac:dyDescent="0.25">
      <c r="A27" s="5" t="s">
        <v>31</v>
      </c>
      <c r="B27" s="17">
        <v>0.1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B30" s="4"/>
      <c r="C30" s="4"/>
      <c r="D30" s="4"/>
      <c r="E30" s="16" t="s">
        <v>36</v>
      </c>
      <c r="F30" s="16"/>
      <c r="G30" s="16"/>
      <c r="H30" s="16"/>
      <c r="I30" s="4"/>
      <c r="J30" s="4"/>
      <c r="K30" s="4"/>
      <c r="L30" s="4"/>
      <c r="M30" s="4"/>
    </row>
    <row r="31" spans="1:13" x14ac:dyDescent="0.25">
      <c r="B31" s="4"/>
      <c r="C31" s="4"/>
      <c r="D31" s="4"/>
      <c r="E31" s="18" t="s">
        <v>37</v>
      </c>
      <c r="F31" s="18"/>
      <c r="G31" s="18"/>
      <c r="H31" s="4"/>
      <c r="I31" s="4"/>
      <c r="J31" s="4"/>
      <c r="K31" s="4"/>
      <c r="L31" s="4"/>
      <c r="M31" s="4"/>
    </row>
    <row r="32" spans="1:13" x14ac:dyDescent="0.25">
      <c r="B32" s="4"/>
      <c r="C32" s="4"/>
      <c r="D32" s="4"/>
      <c r="E32" s="22" t="s">
        <v>38</v>
      </c>
      <c r="F32" s="22"/>
      <c r="G32" s="22"/>
      <c r="H32" s="4"/>
      <c r="I32" s="4"/>
      <c r="J32" s="4"/>
      <c r="K32" s="4"/>
      <c r="L32" s="4"/>
      <c r="M32" s="4"/>
    </row>
    <row r="33" spans="2:13" x14ac:dyDescent="0.25">
      <c r="B33" s="4"/>
      <c r="C33" s="4"/>
      <c r="D33" s="4"/>
      <c r="E33" s="21" t="s">
        <v>39</v>
      </c>
      <c r="F33" s="21"/>
      <c r="G33" s="21"/>
      <c r="H33" s="21"/>
      <c r="I33" s="21"/>
      <c r="J33" s="4"/>
      <c r="K33" s="4"/>
      <c r="L33" s="4"/>
      <c r="M33" s="4"/>
    </row>
    <row r="34" spans="2:13" x14ac:dyDescent="0.25">
      <c r="B34" s="4"/>
      <c r="C34" s="4"/>
      <c r="D34" s="4"/>
      <c r="E34" s="21" t="s">
        <v>40</v>
      </c>
      <c r="F34" s="21"/>
      <c r="G34" s="21"/>
      <c r="H34" s="21"/>
      <c r="I34" s="21"/>
      <c r="J34" s="4"/>
      <c r="K34" s="4"/>
      <c r="L34" s="4"/>
      <c r="M34" s="4"/>
    </row>
    <row r="35" spans="2:13" x14ac:dyDescent="0.25">
      <c r="B35" s="4"/>
      <c r="C35" s="4"/>
      <c r="D35" s="4"/>
      <c r="E35" s="24" t="s">
        <v>41</v>
      </c>
      <c r="F35" s="24"/>
      <c r="G35" s="24"/>
      <c r="H35" s="4"/>
      <c r="I35" s="4"/>
      <c r="J35" s="4"/>
      <c r="K35" s="4"/>
      <c r="L35" s="4"/>
      <c r="M35" s="4"/>
    </row>
    <row r="36" spans="2:13" x14ac:dyDescent="0.25">
      <c r="B36" s="4"/>
      <c r="C36" s="4"/>
      <c r="D36" s="4"/>
      <c r="E36" s="24" t="s">
        <v>42</v>
      </c>
      <c r="F36" s="24"/>
      <c r="G36" s="4"/>
      <c r="H36" s="4"/>
      <c r="I36" s="4"/>
      <c r="J36" s="4"/>
      <c r="K36" s="4"/>
      <c r="L36" s="4"/>
      <c r="M36" s="4"/>
    </row>
    <row r="37" spans="2:13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</sheetData>
  <sheetProtection algorithmName="SHA-512" hashValue="yTOlLyutH5VeJY+m+/wd0BpczPcwXfsMMhMbuzlcnTQcKEMlY8xGYMCHVPSWrshiqgClh8D7XUCQsWTRHr+fhQ==" saltValue="skNu+XA5jkvnJz2eN9xIgw==" spinCount="100000" sheet="1" objects="1" scenarios="1" selectLockedCells="1"/>
  <mergeCells count="1">
    <mergeCell ref="A1:M1"/>
  </mergeCells>
  <conditionalFormatting sqref="B26:M26">
    <cfRule type="cellIs" dxfId="0" priority="1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59" orientation="landscape" r:id="rId1"/>
  <headerFooter>
    <oddFooter>&amp;LYour Name&amp;CPage &amp;P&amp;RSeptember 25, 2018</oddFooter>
  </headerFooter>
  <ignoredErrors>
    <ignoredError sqref="C11:M16 C21:M22 C17:D19 L17:M19 C20:D20 L20:M20 C5:M5" unlockedFormula="1"/>
    <ignoredError sqref="E17:K19 E20:K20" formula="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Budget</vt:lpstr>
      <vt:lpstr>QI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Atha</dc:creator>
  <cp:lastModifiedBy>Joanne Atha</cp:lastModifiedBy>
  <cp:lastPrinted>2018-09-25T22:32:31Z</cp:lastPrinted>
  <dcterms:created xsi:type="dcterms:W3CDTF">2018-07-12T21:12:22Z</dcterms:created>
  <dcterms:modified xsi:type="dcterms:W3CDTF">2018-09-25T22:34:17Z</dcterms:modified>
</cp:coreProperties>
</file>