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ploring\Dropbox\Pearson Exploring Project 2016\Chapter 12 Sweet Jesus\Start Files\"/>
    </mc:Choice>
  </mc:AlternateContent>
  <bookViews>
    <workbookView xWindow="480" yWindow="105" windowWidth="14355" windowHeight="8505"/>
  </bookViews>
  <sheets>
    <sheet name="Sales Data" sheetId="1" r:id="rId1"/>
    <sheet name="Input-Output" sheetId="3" r:id="rId2"/>
  </sheets>
  <definedNames>
    <definedName name="_xlnm._FilterDatabase" localSheetId="0" hidden="1">'Sales Data'!$A$1:$I$82</definedName>
    <definedName name="_xlnm.Criteria" localSheetId="1">'Input-Output'!$A$6:$I$7</definedName>
    <definedName name="CriteriaRange">'Input-Output'!$A$6:$I$7</definedName>
    <definedName name="_xlnm.Database">'Sales Data'!$A$1:$I$82</definedName>
    <definedName name="_xlnm.Extract" localSheetId="1">'Input-Output'!$A$10:$I$10</definedName>
  </definedNames>
  <calcPr calcId="162913"/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2" i="1"/>
</calcChain>
</file>

<file path=xl/sharedStrings.xml><?xml version="1.0" encoding="utf-8"?>
<sst xmlns="http://schemas.openxmlformats.org/spreadsheetml/2006/main" count="514" uniqueCount="106">
  <si>
    <t>Number</t>
  </si>
  <si>
    <t>Address</t>
  </si>
  <si>
    <t>City</t>
  </si>
  <si>
    <t>Selling Agent</t>
  </si>
  <si>
    <t>Asking Price</t>
  </si>
  <si>
    <t>Selling Price</t>
  </si>
  <si>
    <t>Listing Date</t>
  </si>
  <si>
    <t>Sale Date</t>
  </si>
  <si>
    <t>8687 Kenwood Road</t>
  </si>
  <si>
    <t>Cedar Hills</t>
  </si>
  <si>
    <t>Hernandez</t>
  </si>
  <si>
    <t>11 West Oak Circle</t>
  </si>
  <si>
    <t>American Fork</t>
  </si>
  <si>
    <t>Carey</t>
  </si>
  <si>
    <t>314 Timp View Drive</t>
  </si>
  <si>
    <t>Goodrich</t>
  </si>
  <si>
    <t>614 West Cedar Drive</t>
  </si>
  <si>
    <t>Lehi</t>
  </si>
  <si>
    <t>Lugo</t>
  </si>
  <si>
    <t>750 South Apple Way</t>
  </si>
  <si>
    <t>7 Kingston Court</t>
  </si>
  <si>
    <t>Alpine</t>
  </si>
  <si>
    <t>618 West Cedar Drive</t>
  </si>
  <si>
    <t>321 North Choctaw</t>
  </si>
  <si>
    <t>Minkus</t>
  </si>
  <si>
    <t>1370 Pinellas Road</t>
  </si>
  <si>
    <t>1971 Glenview Road</t>
  </si>
  <si>
    <t>15 West Oak Circle</t>
  </si>
  <si>
    <t>575 South Choctaw</t>
  </si>
  <si>
    <t>10995 SW 88 Court</t>
  </si>
  <si>
    <t>143 North Mountain View</t>
  </si>
  <si>
    <t>29 East Oak Circle</t>
  </si>
  <si>
    <t>Merkin</t>
  </si>
  <si>
    <t>8030 Steeplechase Drive</t>
  </si>
  <si>
    <t>2006 Cutwater Court</t>
  </si>
  <si>
    <t>9876 South Sunset Avenue</t>
  </si>
  <si>
    <t>Eagle Mountain</t>
  </si>
  <si>
    <t>321 West Walnut Grove</t>
  </si>
  <si>
    <t>4081 Lybyer Avenue</t>
  </si>
  <si>
    <t>1900 Glenview Road</t>
  </si>
  <si>
    <t>9000 South Sunset Avenue</t>
  </si>
  <si>
    <t>8432 South Sunset Avenue</t>
  </si>
  <si>
    <t>831 South Weber</t>
  </si>
  <si>
    <t>714 Timp View Lane</t>
  </si>
  <si>
    <t>240 East Jefferson Way</t>
  </si>
  <si>
    <t>224 Rockaway Street</t>
  </si>
  <si>
    <t>Pijuan</t>
  </si>
  <si>
    <t>260 East Jefferson Way</t>
  </si>
  <si>
    <t>290 East Jefferson Way</t>
  </si>
  <si>
    <t>8307 S Indian River Drive</t>
  </si>
  <si>
    <t>123 Ivy Lane</t>
  </si>
  <si>
    <t>9408 Forest Hills Circle</t>
  </si>
  <si>
    <t>Reuter</t>
  </si>
  <si>
    <t>245 Ivy Lane</t>
  </si>
  <si>
    <t>11971 SW 269 Terrace</t>
  </si>
  <si>
    <t>1857 Pine Drive</t>
  </si>
  <si>
    <t>3461 East Lindon Way</t>
  </si>
  <si>
    <t>16235 Orange Boulevard</t>
  </si>
  <si>
    <t>614 Lincoln Drive</t>
  </si>
  <si>
    <t>2448 Woodacres Road</t>
  </si>
  <si>
    <t>401 Pinecone Circle</t>
  </si>
  <si>
    <t>421 Ivy Lane</t>
  </si>
  <si>
    <t>765 East Sheridan Lane</t>
  </si>
  <si>
    <t>61 East Walnut Grove</t>
  </si>
  <si>
    <t>1414 N Sheridan Road</t>
  </si>
  <si>
    <t>487 Blue Skies Drive</t>
  </si>
  <si>
    <t>10700 Lake Shore Lane</t>
  </si>
  <si>
    <t>73 East Oak Street</t>
  </si>
  <si>
    <t>81 Island Drive South</t>
  </si>
  <si>
    <t>Bethune</t>
  </si>
  <si>
    <t>3412 Kilmer Street</t>
  </si>
  <si>
    <t>605 Reservoir Drive</t>
  </si>
  <si>
    <t>77 East Oak Street</t>
  </si>
  <si>
    <t>400 Ivy Lane</t>
  </si>
  <si>
    <t>1 Southampton Place</t>
  </si>
  <si>
    <t>3418 North Sunset Lane</t>
  </si>
  <si>
    <t>1892 North 250 West</t>
  </si>
  <si>
    <t>1629 NW 43rd Street</t>
  </si>
  <si>
    <t>3400 North Sunset Lane</t>
  </si>
  <si>
    <t>876 South California Way</t>
  </si>
  <si>
    <t>Hen</t>
  </si>
  <si>
    <t>21 Compass Road</t>
  </si>
  <si>
    <t>34 West Oakley Drive</t>
  </si>
  <si>
    <t>30 Kent Road</t>
  </si>
  <si>
    <t>140 East 3rd Street</t>
  </si>
  <si>
    <t>160 West 5th Street</t>
  </si>
  <si>
    <t>240 West 5th Street</t>
  </si>
  <si>
    <t>520 E Spring Street</t>
  </si>
  <si>
    <t>678 Mountain Circle</t>
  </si>
  <si>
    <t>3490 North Sunset Lane</t>
  </si>
  <si>
    <t>4916 Rock Spring Road</t>
  </si>
  <si>
    <t>8923 Harris Drive</t>
  </si>
  <si>
    <t>876 West Hadley Way</t>
  </si>
  <si>
    <t>1132 SW 52nd Street</t>
  </si>
  <si>
    <t>416 East Oak</t>
  </si>
  <si>
    <t>10 Vestal Drive</t>
  </si>
  <si>
    <t>425 East Oak</t>
  </si>
  <si>
    <t>876 West Holiday</t>
  </si>
  <si>
    <t>103 Jasper Drive</t>
  </si>
  <si>
    <t>516 East Oak</t>
  </si>
  <si>
    <t>123 Oak Avenue</t>
  </si>
  <si>
    <t>600 Ivy Lane</t>
  </si>
  <si>
    <t>144 Oak Avenue</t>
  </si>
  <si>
    <t>1600 Reeves Street</t>
  </si>
  <si>
    <t>Criteria Range</t>
  </si>
  <si>
    <t>% of Asking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</si>
</sst>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/>
    <xf numFmtId="0" fontId="0" fillId="0" borderId="0" xfId="0" applyAlignment="1">
      <alignment horizontal="right" indent="2"/>
    </xf>
    <xf numFmtId="0" fontId="3" fillId="0" borderId="0" xfId="0" applyNumberFormat="1" applyFont="1" applyFill="1" applyBorder="1" applyAlignment="1"/>
    <xf numFmtId="164" fontId="3" fillId="0" borderId="0" xfId="1" applyNumberFormat="1" applyFont="1" applyFill="1" applyBorder="1" applyAlignment="1"/>
    <xf numFmtId="14" fontId="0" fillId="0" borderId="0" xfId="0" applyNumberFormat="1"/>
    <xf numFmtId="14" fontId="3" fillId="0" borderId="0" xfId="0" applyNumberFormat="1" applyFont="1" applyFill="1" applyBorder="1" applyAlignment="1"/>
    <xf numFmtId="0" fontId="0" fillId="3" borderId="0" xfId="0" applyFill="1"/>
    <xf numFmtId="10" fontId="3" fillId="0" borderId="0" xfId="2" applyNumberFormat="1" applyFont="1" applyFill="1" applyBorder="1" applyAlignment="1"/>
    <xf numFmtId="0" fontId="2" fillId="2" borderId="0" xfId="0" applyFont="1" applyFill="1" applyAlignment="1">
      <alignment horizontal="center"/>
    </xf>
    <xf numFmtId="0" fontId="2" fillId="2" borderId="0" xfId="0" applyNumberFormat="1" applyFont="1" applyFill="1" applyBorder="1" applyAlignment="1">
      <alignment horizontal="center" vertical="center"/>
    </xf>
    <xf numFmtId="0" fontId="4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0</xdr:row>
          <xdr:rowOff>19050</xdr:rowOff>
        </xdr:from>
        <xdr:to>
          <xdr:col>2</xdr:col>
          <xdr:colOff>342900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Cedar Hills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0</xdr:row>
          <xdr:rowOff>9525</xdr:rowOff>
        </xdr:from>
        <xdr:to>
          <xdr:col>4</xdr:col>
          <xdr:colOff>209550</xdr:colOff>
          <xdr:row>2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495300</xdr:colOff>
          <xdr:row>2</xdr:row>
          <xdr:rowOff>123825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Input &amp; Output Areas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2"/>
  <sheetViews>
    <sheetView tabSelected="1" workbookViewId="0">
      <selection activeCell="C2" sqref="C2"/>
    </sheetView>
  </sheetViews>
  <sheetFormatPr defaultRowHeight="12.75" x14ac:dyDescent="0.2"/>
  <cols>
    <col min="2" max="2" width="21.85546875" bestFit="1" customWidth="1"/>
    <col min="3" max="3" width="14" bestFit="1" customWidth="1"/>
    <col min="4" max="4" width="13.42578125" bestFit="1" customWidth="1"/>
    <col min="5" max="6" width="14" bestFit="1" customWidth="1"/>
    <col min="7" max="7" width="14" customWidth="1"/>
    <col min="8" max="8" width="10.85546875" bestFit="1" customWidth="1"/>
    <col min="9" max="9" width="10.140625" bestFit="1" customWidth="1"/>
  </cols>
  <sheetData>
    <row r="1" spans="1:9" s="1" customFormat="1" x14ac:dyDescent="0.2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105</v>
      </c>
      <c r="H1" s="10" t="s">
        <v>6</v>
      </c>
      <c r="I1" s="10" t="s">
        <v>7</v>
      </c>
    </row>
    <row r="2" spans="1:9" x14ac:dyDescent="0.2">
      <c r="A2" s="2">
        <v>1</v>
      </c>
      <c r="B2" s="3" t="s">
        <v>8</v>
      </c>
      <c r="C2" s="3" t="s">
        <v>9</v>
      </c>
      <c r="D2" s="3" t="s">
        <v>10</v>
      </c>
      <c r="E2" s="4">
        <v>725000</v>
      </c>
      <c r="F2" s="4">
        <v>645250</v>
      </c>
      <c r="G2" s="8">
        <f>F2/E2</f>
        <v>0.89</v>
      </c>
      <c r="H2" s="5">
        <v>42461</v>
      </c>
      <c r="I2" s="6">
        <v>42537</v>
      </c>
    </row>
    <row r="3" spans="1:9" x14ac:dyDescent="0.2">
      <c r="A3" s="2">
        <v>2</v>
      </c>
      <c r="B3" s="3" t="s">
        <v>11</v>
      </c>
      <c r="C3" s="3" t="s">
        <v>12</v>
      </c>
      <c r="D3" s="3" t="s">
        <v>13</v>
      </c>
      <c r="E3" s="4">
        <v>350000</v>
      </c>
      <c r="F3" s="4">
        <v>340000</v>
      </c>
      <c r="G3" s="8">
        <f t="shared" ref="G3:G66" si="0">F3/E3</f>
        <v>0.97142857142857142</v>
      </c>
      <c r="H3" s="5">
        <v>42461</v>
      </c>
      <c r="I3" s="6">
        <v>42505</v>
      </c>
    </row>
    <row r="4" spans="1:9" x14ac:dyDescent="0.2">
      <c r="A4" s="2">
        <v>3</v>
      </c>
      <c r="B4" s="3" t="s">
        <v>14</v>
      </c>
      <c r="C4" s="3" t="s">
        <v>12</v>
      </c>
      <c r="D4" s="3" t="s">
        <v>15</v>
      </c>
      <c r="E4" s="4">
        <v>418000</v>
      </c>
      <c r="F4" s="4">
        <v>400000</v>
      </c>
      <c r="G4" s="8">
        <f t="shared" si="0"/>
        <v>0.9569377990430622</v>
      </c>
      <c r="H4" s="5">
        <v>42461</v>
      </c>
      <c r="I4" s="6">
        <v>42522</v>
      </c>
    </row>
    <row r="5" spans="1:9" x14ac:dyDescent="0.2">
      <c r="A5" s="2">
        <v>4</v>
      </c>
      <c r="B5" s="3" t="s">
        <v>16</v>
      </c>
      <c r="C5" s="3" t="s">
        <v>17</v>
      </c>
      <c r="D5" s="3" t="s">
        <v>18</v>
      </c>
      <c r="E5" s="4">
        <v>215800</v>
      </c>
      <c r="F5" s="4">
        <v>200000</v>
      </c>
      <c r="G5" s="8">
        <f t="shared" si="0"/>
        <v>0.92678405931417984</v>
      </c>
      <c r="H5" s="5">
        <v>42461</v>
      </c>
      <c r="I5" s="6">
        <v>42515</v>
      </c>
    </row>
    <row r="6" spans="1:9" x14ac:dyDescent="0.2">
      <c r="A6" s="2">
        <v>5</v>
      </c>
      <c r="B6" s="3" t="s">
        <v>19</v>
      </c>
      <c r="C6" s="3" t="s">
        <v>12</v>
      </c>
      <c r="D6" s="3" t="s">
        <v>15</v>
      </c>
      <c r="E6" s="4">
        <v>385900</v>
      </c>
      <c r="F6" s="4">
        <v>385900</v>
      </c>
      <c r="G6" s="8">
        <f t="shared" si="0"/>
        <v>1</v>
      </c>
      <c r="H6" s="5">
        <v>42461</v>
      </c>
      <c r="I6" s="6">
        <v>42490</v>
      </c>
    </row>
    <row r="7" spans="1:9" x14ac:dyDescent="0.2">
      <c r="A7" s="2">
        <v>6</v>
      </c>
      <c r="B7" s="3" t="s">
        <v>20</v>
      </c>
      <c r="C7" s="3" t="s">
        <v>21</v>
      </c>
      <c r="D7" s="3" t="s">
        <v>13</v>
      </c>
      <c r="E7" s="4">
        <v>500000</v>
      </c>
      <c r="F7" s="4">
        <v>465000</v>
      </c>
      <c r="G7" s="8">
        <f t="shared" si="0"/>
        <v>0.93</v>
      </c>
      <c r="H7" s="6">
        <v>42463</v>
      </c>
      <c r="I7" s="6">
        <v>42531</v>
      </c>
    </row>
    <row r="8" spans="1:9" x14ac:dyDescent="0.2">
      <c r="A8" s="2">
        <v>7</v>
      </c>
      <c r="B8" s="3" t="s">
        <v>22</v>
      </c>
      <c r="C8" s="3" t="s">
        <v>17</v>
      </c>
      <c r="D8" s="3" t="s">
        <v>18</v>
      </c>
      <c r="E8" s="4">
        <v>300000</v>
      </c>
      <c r="F8" s="4">
        <v>290000</v>
      </c>
      <c r="G8" s="8">
        <f t="shared" si="0"/>
        <v>0.96666666666666667</v>
      </c>
      <c r="H8" s="6">
        <v>42463</v>
      </c>
      <c r="I8" s="6">
        <v>42522</v>
      </c>
    </row>
    <row r="9" spans="1:9" x14ac:dyDescent="0.2">
      <c r="A9" s="2">
        <v>8</v>
      </c>
      <c r="B9" s="3" t="s">
        <v>23</v>
      </c>
      <c r="C9" s="3" t="s">
        <v>12</v>
      </c>
      <c r="D9" s="3" t="s">
        <v>24</v>
      </c>
      <c r="E9" s="4">
        <v>565000</v>
      </c>
      <c r="F9" s="4">
        <v>535000</v>
      </c>
      <c r="G9" s="8">
        <f t="shared" si="0"/>
        <v>0.94690265486725667</v>
      </c>
      <c r="H9" s="6">
        <v>42466</v>
      </c>
      <c r="I9" s="6">
        <v>42643</v>
      </c>
    </row>
    <row r="10" spans="1:9" x14ac:dyDescent="0.2">
      <c r="A10" s="2">
        <v>9</v>
      </c>
      <c r="B10" s="3" t="s">
        <v>25</v>
      </c>
      <c r="C10" s="3" t="s">
        <v>21</v>
      </c>
      <c r="D10" s="3" t="s">
        <v>18</v>
      </c>
      <c r="E10" s="4">
        <v>219000</v>
      </c>
      <c r="F10" s="4">
        <v>215000</v>
      </c>
      <c r="G10" s="8">
        <f t="shared" si="0"/>
        <v>0.9817351598173516</v>
      </c>
      <c r="H10" s="6">
        <v>42468</v>
      </c>
      <c r="I10" s="6">
        <v>42523</v>
      </c>
    </row>
    <row r="11" spans="1:9" x14ac:dyDescent="0.2">
      <c r="A11" s="2">
        <v>10</v>
      </c>
      <c r="B11" s="3" t="s">
        <v>26</v>
      </c>
      <c r="C11" s="3" t="s">
        <v>17</v>
      </c>
      <c r="D11" s="3" t="s">
        <v>24</v>
      </c>
      <c r="E11" s="4">
        <v>165000</v>
      </c>
      <c r="F11" s="4">
        <v>156750</v>
      </c>
      <c r="G11" s="8">
        <f t="shared" si="0"/>
        <v>0.95</v>
      </c>
      <c r="H11" s="6">
        <v>42472</v>
      </c>
      <c r="I11" s="6">
        <v>42533</v>
      </c>
    </row>
    <row r="12" spans="1:9" x14ac:dyDescent="0.2">
      <c r="A12" s="2">
        <v>11</v>
      </c>
      <c r="B12" s="3" t="s">
        <v>27</v>
      </c>
      <c r="C12" s="3" t="s">
        <v>12</v>
      </c>
      <c r="D12" s="3" t="s">
        <v>10</v>
      </c>
      <c r="E12" s="4">
        <v>325000</v>
      </c>
      <c r="F12" s="4">
        <v>320000</v>
      </c>
      <c r="G12" s="8">
        <f t="shared" si="0"/>
        <v>0.98461538461538467</v>
      </c>
      <c r="H12" s="6">
        <v>42472</v>
      </c>
      <c r="I12" s="6">
        <v>42520</v>
      </c>
    </row>
    <row r="13" spans="1:9" x14ac:dyDescent="0.2">
      <c r="A13" s="2">
        <v>12</v>
      </c>
      <c r="B13" s="3" t="s">
        <v>28</v>
      </c>
      <c r="C13" s="3" t="s">
        <v>21</v>
      </c>
      <c r="D13" s="3" t="s">
        <v>15</v>
      </c>
      <c r="E13" s="4">
        <v>750250</v>
      </c>
      <c r="F13" s="4">
        <v>700000</v>
      </c>
      <c r="G13" s="8">
        <f t="shared" si="0"/>
        <v>0.93302232589136957</v>
      </c>
      <c r="H13" s="6">
        <v>42472</v>
      </c>
      <c r="I13" s="6">
        <v>42675</v>
      </c>
    </row>
    <row r="14" spans="1:9" x14ac:dyDescent="0.2">
      <c r="A14" s="2">
        <v>13</v>
      </c>
      <c r="B14" s="3" t="s">
        <v>29</v>
      </c>
      <c r="C14" s="3" t="s">
        <v>17</v>
      </c>
      <c r="D14" s="3" t="s">
        <v>15</v>
      </c>
      <c r="E14" s="4">
        <v>110000</v>
      </c>
      <c r="F14" s="4">
        <v>106000</v>
      </c>
      <c r="G14" s="8">
        <f t="shared" si="0"/>
        <v>0.96363636363636362</v>
      </c>
      <c r="H14" s="6">
        <v>42472</v>
      </c>
      <c r="I14" s="6">
        <v>42554</v>
      </c>
    </row>
    <row r="15" spans="1:9" x14ac:dyDescent="0.2">
      <c r="A15" s="2">
        <v>14</v>
      </c>
      <c r="B15" s="3" t="s">
        <v>30</v>
      </c>
      <c r="C15" s="3" t="s">
        <v>12</v>
      </c>
      <c r="D15" s="3" t="s">
        <v>13</v>
      </c>
      <c r="E15" s="4">
        <v>314250</v>
      </c>
      <c r="F15" s="4">
        <v>304000</v>
      </c>
      <c r="G15" s="8">
        <f t="shared" si="0"/>
        <v>0.96738265712012728</v>
      </c>
      <c r="H15" s="6">
        <v>42473</v>
      </c>
      <c r="I15" s="6">
        <v>42587</v>
      </c>
    </row>
    <row r="16" spans="1:9" x14ac:dyDescent="0.2">
      <c r="A16" s="2">
        <v>15</v>
      </c>
      <c r="B16" s="3" t="s">
        <v>31</v>
      </c>
      <c r="C16" s="3" t="s">
        <v>12</v>
      </c>
      <c r="D16" s="3" t="s">
        <v>32</v>
      </c>
      <c r="E16" s="4">
        <v>555000</v>
      </c>
      <c r="F16" s="4">
        <v>500000</v>
      </c>
      <c r="G16" s="8">
        <f t="shared" si="0"/>
        <v>0.90090090090090091</v>
      </c>
      <c r="H16" s="6">
        <v>42473</v>
      </c>
      <c r="I16" s="6">
        <v>42658</v>
      </c>
    </row>
    <row r="17" spans="1:9" x14ac:dyDescent="0.2">
      <c r="A17" s="2">
        <v>16</v>
      </c>
      <c r="B17" s="3" t="s">
        <v>33</v>
      </c>
      <c r="C17" s="3" t="s">
        <v>21</v>
      </c>
      <c r="D17" s="3" t="s">
        <v>32</v>
      </c>
      <c r="E17" s="4">
        <v>450000</v>
      </c>
      <c r="F17" s="4">
        <v>382500</v>
      </c>
      <c r="G17" s="8">
        <f t="shared" si="0"/>
        <v>0.85</v>
      </c>
      <c r="H17" s="6">
        <v>42475</v>
      </c>
      <c r="I17" s="6">
        <v>42551</v>
      </c>
    </row>
    <row r="18" spans="1:9" x14ac:dyDescent="0.2">
      <c r="A18" s="2">
        <v>17</v>
      </c>
      <c r="B18" s="3" t="s">
        <v>34</v>
      </c>
      <c r="C18" s="3" t="s">
        <v>21</v>
      </c>
      <c r="D18" s="3" t="s">
        <v>24</v>
      </c>
      <c r="E18" s="4">
        <v>345000</v>
      </c>
      <c r="F18" s="4">
        <v>339999</v>
      </c>
      <c r="G18" s="8">
        <f t="shared" si="0"/>
        <v>0.98550434782608698</v>
      </c>
      <c r="H18" s="6">
        <v>42478</v>
      </c>
      <c r="I18" s="6">
        <v>42544</v>
      </c>
    </row>
    <row r="19" spans="1:9" x14ac:dyDescent="0.2">
      <c r="A19" s="2">
        <v>18</v>
      </c>
      <c r="B19" s="3" t="s">
        <v>35</v>
      </c>
      <c r="C19" s="3" t="s">
        <v>36</v>
      </c>
      <c r="D19" s="3" t="s">
        <v>10</v>
      </c>
      <c r="E19" s="4">
        <v>300000</v>
      </c>
      <c r="F19" s="4">
        <v>300000</v>
      </c>
      <c r="G19" s="8">
        <f t="shared" si="0"/>
        <v>1</v>
      </c>
      <c r="H19" s="6">
        <v>42478</v>
      </c>
      <c r="I19" s="6">
        <v>42490</v>
      </c>
    </row>
    <row r="20" spans="1:9" x14ac:dyDescent="0.2">
      <c r="A20" s="2">
        <v>19</v>
      </c>
      <c r="B20" s="3" t="s">
        <v>37</v>
      </c>
      <c r="C20" s="3" t="s">
        <v>12</v>
      </c>
      <c r="D20" s="3" t="s">
        <v>15</v>
      </c>
      <c r="E20" s="4">
        <v>425000</v>
      </c>
      <c r="F20" s="4">
        <v>415000</v>
      </c>
      <c r="G20" s="8">
        <f t="shared" si="0"/>
        <v>0.97647058823529409</v>
      </c>
      <c r="H20" s="6">
        <v>42478</v>
      </c>
      <c r="I20" s="6">
        <v>42551</v>
      </c>
    </row>
    <row r="21" spans="1:9" x14ac:dyDescent="0.2">
      <c r="A21" s="2">
        <v>20</v>
      </c>
      <c r="B21" s="3" t="s">
        <v>38</v>
      </c>
      <c r="C21" s="3" t="s">
        <v>21</v>
      </c>
      <c r="D21" s="3" t="s">
        <v>24</v>
      </c>
      <c r="E21" s="4">
        <v>325000</v>
      </c>
      <c r="F21" s="4">
        <v>308750</v>
      </c>
      <c r="G21" s="8">
        <f t="shared" si="0"/>
        <v>0.95</v>
      </c>
      <c r="H21" s="6">
        <v>42479</v>
      </c>
      <c r="I21" s="6">
        <v>42553</v>
      </c>
    </row>
    <row r="22" spans="1:9" x14ac:dyDescent="0.2">
      <c r="A22" s="2">
        <v>21</v>
      </c>
      <c r="B22" s="3" t="s">
        <v>39</v>
      </c>
      <c r="C22" s="3" t="s">
        <v>17</v>
      </c>
      <c r="D22" s="3" t="s">
        <v>10</v>
      </c>
      <c r="E22" s="4">
        <v>325000</v>
      </c>
      <c r="F22" s="4">
        <v>302250</v>
      </c>
      <c r="G22" s="8">
        <f t="shared" si="0"/>
        <v>0.93</v>
      </c>
      <c r="H22" s="6">
        <v>42488</v>
      </c>
      <c r="I22" s="6">
        <v>42522</v>
      </c>
    </row>
    <row r="23" spans="1:9" x14ac:dyDescent="0.2">
      <c r="A23" s="2">
        <v>22</v>
      </c>
      <c r="B23" s="3" t="s">
        <v>40</v>
      </c>
      <c r="C23" s="3" t="s">
        <v>36</v>
      </c>
      <c r="D23" s="3" t="s">
        <v>18</v>
      </c>
      <c r="E23" s="4">
        <v>325000</v>
      </c>
      <c r="F23" s="4">
        <v>320000</v>
      </c>
      <c r="G23" s="8">
        <f t="shared" si="0"/>
        <v>0.98461538461538467</v>
      </c>
      <c r="H23" s="6">
        <v>42488</v>
      </c>
      <c r="I23" s="6">
        <v>42518</v>
      </c>
    </row>
    <row r="24" spans="1:9" x14ac:dyDescent="0.2">
      <c r="A24" s="2">
        <v>23</v>
      </c>
      <c r="B24" s="3" t="s">
        <v>41</v>
      </c>
      <c r="C24" s="3" t="s">
        <v>36</v>
      </c>
      <c r="D24" s="3" t="s">
        <v>24</v>
      </c>
      <c r="E24" s="4">
        <v>285750</v>
      </c>
      <c r="F24" s="4">
        <v>300000</v>
      </c>
      <c r="G24" s="8">
        <f t="shared" si="0"/>
        <v>1.0498687664041995</v>
      </c>
      <c r="H24" s="6">
        <v>42488</v>
      </c>
      <c r="I24" s="6">
        <v>42524</v>
      </c>
    </row>
    <row r="25" spans="1:9" x14ac:dyDescent="0.2">
      <c r="A25" s="2">
        <v>24</v>
      </c>
      <c r="B25" s="3" t="s">
        <v>42</v>
      </c>
      <c r="C25" s="3" t="s">
        <v>12</v>
      </c>
      <c r="D25" s="3" t="s">
        <v>18</v>
      </c>
      <c r="E25" s="4">
        <v>425815</v>
      </c>
      <c r="F25" s="4">
        <v>400000</v>
      </c>
      <c r="G25" s="8">
        <f t="shared" si="0"/>
        <v>0.93937508072754605</v>
      </c>
      <c r="H25" s="6">
        <v>42488</v>
      </c>
      <c r="I25" s="6">
        <v>42628</v>
      </c>
    </row>
    <row r="26" spans="1:9" x14ac:dyDescent="0.2">
      <c r="A26" s="2">
        <v>25</v>
      </c>
      <c r="B26" s="3" t="s">
        <v>43</v>
      </c>
      <c r="C26" s="3" t="s">
        <v>12</v>
      </c>
      <c r="D26" s="3" t="s">
        <v>15</v>
      </c>
      <c r="E26" s="4">
        <v>250000</v>
      </c>
      <c r="F26" s="4">
        <v>232000</v>
      </c>
      <c r="G26" s="8">
        <f t="shared" si="0"/>
        <v>0.92800000000000005</v>
      </c>
      <c r="H26" s="6">
        <v>42489</v>
      </c>
      <c r="I26" s="6">
        <v>42614</v>
      </c>
    </row>
    <row r="27" spans="1:9" x14ac:dyDescent="0.2">
      <c r="A27" s="2">
        <v>26</v>
      </c>
      <c r="B27" s="3" t="s">
        <v>44</v>
      </c>
      <c r="C27" s="3" t="s">
        <v>36</v>
      </c>
      <c r="D27" s="3" t="s">
        <v>18</v>
      </c>
      <c r="E27" s="4">
        <v>515000</v>
      </c>
      <c r="F27" s="4">
        <v>485750</v>
      </c>
      <c r="G27" s="8">
        <f t="shared" si="0"/>
        <v>0.94320388349514561</v>
      </c>
      <c r="H27" s="6">
        <v>42489</v>
      </c>
      <c r="I27" s="6">
        <v>42607</v>
      </c>
    </row>
    <row r="28" spans="1:9" x14ac:dyDescent="0.2">
      <c r="A28" s="2">
        <v>27</v>
      </c>
      <c r="B28" s="3" t="s">
        <v>45</v>
      </c>
      <c r="C28" s="3" t="s">
        <v>21</v>
      </c>
      <c r="D28" s="3" t="s">
        <v>46</v>
      </c>
      <c r="E28" s="4">
        <v>400000</v>
      </c>
      <c r="F28" s="4">
        <v>375000</v>
      </c>
      <c r="G28" s="8">
        <f t="shared" si="0"/>
        <v>0.9375</v>
      </c>
      <c r="H28" s="6">
        <v>42490</v>
      </c>
      <c r="I28" s="6">
        <v>42540</v>
      </c>
    </row>
    <row r="29" spans="1:9" x14ac:dyDescent="0.2">
      <c r="A29" s="2">
        <v>28</v>
      </c>
      <c r="B29" s="3" t="s">
        <v>47</v>
      </c>
      <c r="C29" s="3" t="s">
        <v>36</v>
      </c>
      <c r="D29" s="3" t="s">
        <v>10</v>
      </c>
      <c r="E29" s="4">
        <v>450000</v>
      </c>
      <c r="F29" s="4">
        <v>400000</v>
      </c>
      <c r="G29" s="8">
        <f t="shared" si="0"/>
        <v>0.88888888888888884</v>
      </c>
      <c r="H29" s="6">
        <v>42490</v>
      </c>
      <c r="I29" s="6">
        <v>42644</v>
      </c>
    </row>
    <row r="30" spans="1:9" x14ac:dyDescent="0.2">
      <c r="A30" s="2">
        <v>29</v>
      </c>
      <c r="B30" s="3" t="s">
        <v>48</v>
      </c>
      <c r="C30" s="3" t="s">
        <v>36</v>
      </c>
      <c r="D30" s="3" t="s">
        <v>46</v>
      </c>
      <c r="E30" s="4">
        <v>310000</v>
      </c>
      <c r="F30" s="4">
        <v>300000</v>
      </c>
      <c r="G30" s="8">
        <f t="shared" si="0"/>
        <v>0.967741935483871</v>
      </c>
      <c r="H30" s="6">
        <v>42490</v>
      </c>
      <c r="I30" s="6">
        <v>42552</v>
      </c>
    </row>
    <row r="31" spans="1:9" x14ac:dyDescent="0.2">
      <c r="A31" s="2">
        <v>30</v>
      </c>
      <c r="B31" s="3" t="s">
        <v>49</v>
      </c>
      <c r="C31" s="3" t="s">
        <v>17</v>
      </c>
      <c r="D31" s="3" t="s">
        <v>10</v>
      </c>
      <c r="E31" s="4">
        <v>250000</v>
      </c>
      <c r="F31" s="4">
        <v>255000</v>
      </c>
      <c r="G31" s="8">
        <f t="shared" si="0"/>
        <v>1.02</v>
      </c>
      <c r="H31" s="6">
        <v>42491</v>
      </c>
      <c r="I31" s="6">
        <v>42539</v>
      </c>
    </row>
    <row r="32" spans="1:9" x14ac:dyDescent="0.2">
      <c r="A32" s="2">
        <v>31</v>
      </c>
      <c r="B32" s="3" t="s">
        <v>50</v>
      </c>
      <c r="C32" s="3" t="s">
        <v>36</v>
      </c>
      <c r="D32" s="3" t="s">
        <v>46</v>
      </c>
      <c r="E32" s="4">
        <v>375500</v>
      </c>
      <c r="F32" s="4">
        <v>375500</v>
      </c>
      <c r="G32" s="8">
        <f t="shared" si="0"/>
        <v>1</v>
      </c>
      <c r="H32" s="6">
        <v>42491</v>
      </c>
      <c r="I32" s="6">
        <v>42495</v>
      </c>
    </row>
    <row r="33" spans="1:9" x14ac:dyDescent="0.2">
      <c r="A33" s="2">
        <v>32</v>
      </c>
      <c r="B33" s="3" t="s">
        <v>51</v>
      </c>
      <c r="C33" s="3" t="s">
        <v>9</v>
      </c>
      <c r="D33" s="3" t="s">
        <v>52</v>
      </c>
      <c r="E33" s="4">
        <v>185500</v>
      </c>
      <c r="F33" s="4">
        <v>179000</v>
      </c>
      <c r="G33" s="8">
        <f t="shared" si="0"/>
        <v>0.96495956873315369</v>
      </c>
      <c r="H33" s="6">
        <v>42491</v>
      </c>
      <c r="I33" s="6">
        <v>42527</v>
      </c>
    </row>
    <row r="34" spans="1:9" x14ac:dyDescent="0.2">
      <c r="A34" s="2">
        <v>33</v>
      </c>
      <c r="B34" s="3" t="s">
        <v>53</v>
      </c>
      <c r="C34" s="3" t="s">
        <v>36</v>
      </c>
      <c r="D34" s="3" t="s">
        <v>15</v>
      </c>
      <c r="E34" s="4">
        <v>395000</v>
      </c>
      <c r="F34" s="4">
        <v>375000</v>
      </c>
      <c r="G34" s="8">
        <f t="shared" si="0"/>
        <v>0.94936708860759489</v>
      </c>
      <c r="H34" s="6">
        <v>42491</v>
      </c>
      <c r="I34" s="6">
        <v>42567</v>
      </c>
    </row>
    <row r="35" spans="1:9" x14ac:dyDescent="0.2">
      <c r="A35" s="2">
        <v>34</v>
      </c>
      <c r="B35" s="3" t="s">
        <v>54</v>
      </c>
      <c r="C35" s="3" t="s">
        <v>9</v>
      </c>
      <c r="D35" s="3" t="s">
        <v>13</v>
      </c>
      <c r="E35" s="4">
        <v>410000</v>
      </c>
      <c r="F35" s="4">
        <v>397700</v>
      </c>
      <c r="G35" s="8">
        <f t="shared" si="0"/>
        <v>0.97</v>
      </c>
      <c r="H35" s="6">
        <v>42491</v>
      </c>
      <c r="I35" s="6">
        <v>42547</v>
      </c>
    </row>
    <row r="36" spans="1:9" x14ac:dyDescent="0.2">
      <c r="A36" s="2">
        <v>35</v>
      </c>
      <c r="B36" s="3" t="s">
        <v>55</v>
      </c>
      <c r="C36" s="3" t="s">
        <v>9</v>
      </c>
      <c r="D36" s="3" t="s">
        <v>10</v>
      </c>
      <c r="E36" s="4">
        <v>560700</v>
      </c>
      <c r="F36" s="4">
        <v>550000</v>
      </c>
      <c r="G36" s="8">
        <f t="shared" si="0"/>
        <v>0.98091671125378987</v>
      </c>
      <c r="H36" s="6">
        <v>42491</v>
      </c>
      <c r="I36" s="6">
        <v>42520</v>
      </c>
    </row>
    <row r="37" spans="1:9" x14ac:dyDescent="0.2">
      <c r="A37" s="2">
        <v>36</v>
      </c>
      <c r="B37" s="3" t="s">
        <v>56</v>
      </c>
      <c r="C37" s="3" t="s">
        <v>12</v>
      </c>
      <c r="D37" s="3" t="s">
        <v>52</v>
      </c>
      <c r="E37" s="4">
        <v>450000</v>
      </c>
      <c r="F37" s="4">
        <v>400000</v>
      </c>
      <c r="G37" s="8">
        <f t="shared" si="0"/>
        <v>0.88888888888888884</v>
      </c>
      <c r="H37" s="6">
        <v>42492</v>
      </c>
      <c r="I37" s="6">
        <v>42643</v>
      </c>
    </row>
    <row r="38" spans="1:9" x14ac:dyDescent="0.2">
      <c r="A38" s="2">
        <v>37</v>
      </c>
      <c r="B38" s="3" t="s">
        <v>57</v>
      </c>
      <c r="C38" s="3" t="s">
        <v>9</v>
      </c>
      <c r="D38" s="3" t="s">
        <v>18</v>
      </c>
      <c r="E38" s="4">
        <v>395000</v>
      </c>
      <c r="F38" s="4">
        <v>380000</v>
      </c>
      <c r="G38" s="8">
        <f t="shared" si="0"/>
        <v>0.96202531645569622</v>
      </c>
      <c r="H38" s="6">
        <v>42495</v>
      </c>
      <c r="I38" s="6">
        <v>42567</v>
      </c>
    </row>
    <row r="39" spans="1:9" x14ac:dyDescent="0.2">
      <c r="A39" s="2">
        <v>38</v>
      </c>
      <c r="B39" s="3" t="s">
        <v>58</v>
      </c>
      <c r="C39" s="3" t="s">
        <v>36</v>
      </c>
      <c r="D39" s="3" t="s">
        <v>52</v>
      </c>
      <c r="E39" s="4">
        <v>475000</v>
      </c>
      <c r="F39" s="4">
        <v>425250</v>
      </c>
      <c r="G39" s="8">
        <f t="shared" si="0"/>
        <v>0.89526315789473687</v>
      </c>
      <c r="H39" s="6">
        <v>42495</v>
      </c>
      <c r="I39" s="6">
        <v>42636</v>
      </c>
    </row>
    <row r="40" spans="1:9" x14ac:dyDescent="0.2">
      <c r="A40" s="2">
        <v>39</v>
      </c>
      <c r="B40" s="3" t="s">
        <v>59</v>
      </c>
      <c r="C40" s="3" t="s">
        <v>17</v>
      </c>
      <c r="D40" s="3" t="s">
        <v>10</v>
      </c>
      <c r="E40" s="4">
        <v>450000</v>
      </c>
      <c r="F40" s="4">
        <v>382500</v>
      </c>
      <c r="G40" s="8">
        <f t="shared" si="0"/>
        <v>0.85</v>
      </c>
      <c r="H40" s="6">
        <v>42495</v>
      </c>
      <c r="I40" s="6">
        <v>42537</v>
      </c>
    </row>
    <row r="41" spans="1:9" x14ac:dyDescent="0.2">
      <c r="A41" s="2">
        <v>40</v>
      </c>
      <c r="B41" s="3" t="s">
        <v>60</v>
      </c>
      <c r="C41" s="3" t="s">
        <v>21</v>
      </c>
      <c r="D41" s="3" t="s">
        <v>15</v>
      </c>
      <c r="E41" s="4">
        <v>1500120</v>
      </c>
      <c r="F41" s="4">
        <v>1400000</v>
      </c>
      <c r="G41" s="8">
        <f t="shared" si="0"/>
        <v>0.93325867263952222</v>
      </c>
      <c r="H41" s="6">
        <v>42495</v>
      </c>
      <c r="I41" s="6">
        <v>42643</v>
      </c>
    </row>
    <row r="42" spans="1:9" x14ac:dyDescent="0.2">
      <c r="A42" s="2">
        <v>41</v>
      </c>
      <c r="B42" s="3" t="s">
        <v>61</v>
      </c>
      <c r="C42" s="3" t="s">
        <v>36</v>
      </c>
      <c r="D42" s="3" t="s">
        <v>46</v>
      </c>
      <c r="E42" s="4">
        <v>500000</v>
      </c>
      <c r="F42" s="4">
        <v>425000</v>
      </c>
      <c r="G42" s="8">
        <f t="shared" si="0"/>
        <v>0.85</v>
      </c>
      <c r="H42" s="6">
        <v>42495</v>
      </c>
      <c r="I42" s="6">
        <v>42689</v>
      </c>
    </row>
    <row r="43" spans="1:9" x14ac:dyDescent="0.2">
      <c r="A43" s="2">
        <v>42</v>
      </c>
      <c r="B43" s="3" t="s">
        <v>62</v>
      </c>
      <c r="C43" s="3" t="s">
        <v>36</v>
      </c>
      <c r="D43" s="3" t="s">
        <v>24</v>
      </c>
      <c r="E43" s="4">
        <v>460750</v>
      </c>
      <c r="F43" s="4">
        <v>435500</v>
      </c>
      <c r="G43" s="8">
        <f t="shared" si="0"/>
        <v>0.94519804666304941</v>
      </c>
      <c r="H43" s="6">
        <v>42495</v>
      </c>
      <c r="I43" s="6">
        <v>42675</v>
      </c>
    </row>
    <row r="44" spans="1:9" x14ac:dyDescent="0.2">
      <c r="A44" s="2">
        <v>43</v>
      </c>
      <c r="B44" s="3" t="s">
        <v>63</v>
      </c>
      <c r="C44" s="3" t="s">
        <v>12</v>
      </c>
      <c r="D44" s="3" t="s">
        <v>15</v>
      </c>
      <c r="E44" s="4">
        <v>375000</v>
      </c>
      <c r="F44" s="4">
        <v>376000</v>
      </c>
      <c r="G44" s="8">
        <f t="shared" si="0"/>
        <v>1.0026666666666666</v>
      </c>
      <c r="H44" s="6">
        <v>42496</v>
      </c>
      <c r="I44" s="6">
        <v>42505</v>
      </c>
    </row>
    <row r="45" spans="1:9" x14ac:dyDescent="0.2">
      <c r="A45" s="2">
        <v>44</v>
      </c>
      <c r="B45" s="3" t="s">
        <v>64</v>
      </c>
      <c r="C45" s="3" t="s">
        <v>21</v>
      </c>
      <c r="D45" s="3" t="s">
        <v>46</v>
      </c>
      <c r="E45" s="4">
        <v>1250000</v>
      </c>
      <c r="F45" s="4">
        <v>1225000</v>
      </c>
      <c r="G45" s="8">
        <f t="shared" si="0"/>
        <v>0.98</v>
      </c>
      <c r="H45" s="6">
        <v>42502</v>
      </c>
      <c r="I45" s="6">
        <v>42527</v>
      </c>
    </row>
    <row r="46" spans="1:9" x14ac:dyDescent="0.2">
      <c r="A46" s="2">
        <v>45</v>
      </c>
      <c r="B46" s="3" t="s">
        <v>65</v>
      </c>
      <c r="C46" s="3" t="s">
        <v>12</v>
      </c>
      <c r="D46" s="3" t="s">
        <v>15</v>
      </c>
      <c r="E46" s="4">
        <v>365750</v>
      </c>
      <c r="F46" s="4">
        <v>355000</v>
      </c>
      <c r="G46" s="8">
        <f t="shared" si="0"/>
        <v>0.9706083390293917</v>
      </c>
      <c r="H46" s="6">
        <v>42503</v>
      </c>
      <c r="I46" s="6">
        <v>42597</v>
      </c>
    </row>
    <row r="47" spans="1:9" x14ac:dyDescent="0.2">
      <c r="A47" s="2">
        <v>46</v>
      </c>
      <c r="B47" s="3" t="s">
        <v>66</v>
      </c>
      <c r="C47" s="3" t="s">
        <v>9</v>
      </c>
      <c r="D47" s="3" t="s">
        <v>13</v>
      </c>
      <c r="E47" s="4">
        <v>650000</v>
      </c>
      <c r="F47" s="4">
        <v>598000</v>
      </c>
      <c r="G47" s="8">
        <f t="shared" si="0"/>
        <v>0.92</v>
      </c>
      <c r="H47" s="6">
        <v>42505</v>
      </c>
      <c r="I47" s="6">
        <v>42530</v>
      </c>
    </row>
    <row r="48" spans="1:9" x14ac:dyDescent="0.2">
      <c r="A48" s="2">
        <v>47</v>
      </c>
      <c r="B48" s="3" t="s">
        <v>67</v>
      </c>
      <c r="C48" s="3" t="s">
        <v>36</v>
      </c>
      <c r="D48" s="3" t="s">
        <v>32</v>
      </c>
      <c r="E48" s="4">
        <v>325000</v>
      </c>
      <c r="F48" s="4">
        <v>325000</v>
      </c>
      <c r="G48" s="8">
        <f t="shared" si="0"/>
        <v>1</v>
      </c>
      <c r="H48" s="6">
        <v>42508</v>
      </c>
      <c r="I48" s="6">
        <v>42521</v>
      </c>
    </row>
    <row r="49" spans="1:9" x14ac:dyDescent="0.2">
      <c r="A49" s="2">
        <v>48</v>
      </c>
      <c r="B49" s="3" t="s">
        <v>68</v>
      </c>
      <c r="C49" s="3" t="s">
        <v>21</v>
      </c>
      <c r="D49" s="3" t="s">
        <v>69</v>
      </c>
      <c r="E49" s="4">
        <v>147800</v>
      </c>
      <c r="F49" s="4">
        <v>150000</v>
      </c>
      <c r="G49" s="8">
        <f t="shared" si="0"/>
        <v>1.0148849797023005</v>
      </c>
      <c r="H49" s="6">
        <v>42512</v>
      </c>
      <c r="I49" s="6">
        <v>42537</v>
      </c>
    </row>
    <row r="50" spans="1:9" x14ac:dyDescent="0.2">
      <c r="A50" s="2">
        <v>49</v>
      </c>
      <c r="B50" s="3" t="s">
        <v>70</v>
      </c>
      <c r="C50" s="3" t="s">
        <v>17</v>
      </c>
      <c r="D50" s="3" t="s">
        <v>13</v>
      </c>
      <c r="E50" s="4">
        <v>180000</v>
      </c>
      <c r="F50" s="4">
        <v>175000</v>
      </c>
      <c r="G50" s="8">
        <f t="shared" si="0"/>
        <v>0.97222222222222221</v>
      </c>
      <c r="H50" s="6">
        <v>42513</v>
      </c>
      <c r="I50" s="6">
        <v>42566</v>
      </c>
    </row>
    <row r="51" spans="1:9" x14ac:dyDescent="0.2">
      <c r="A51" s="2">
        <v>50</v>
      </c>
      <c r="B51" s="3" t="s">
        <v>71</v>
      </c>
      <c r="C51" s="3" t="s">
        <v>21</v>
      </c>
      <c r="D51" s="3" t="s">
        <v>52</v>
      </c>
      <c r="E51" s="4">
        <v>310000</v>
      </c>
      <c r="F51" s="4">
        <v>291400</v>
      </c>
      <c r="G51" s="8">
        <f t="shared" si="0"/>
        <v>0.94</v>
      </c>
      <c r="H51" s="6">
        <v>42512</v>
      </c>
      <c r="I51" s="6">
        <v>42550</v>
      </c>
    </row>
    <row r="52" spans="1:9" x14ac:dyDescent="0.2">
      <c r="A52" s="2">
        <v>51</v>
      </c>
      <c r="B52" s="3" t="s">
        <v>72</v>
      </c>
      <c r="C52" s="3" t="s">
        <v>36</v>
      </c>
      <c r="D52" s="3" t="s">
        <v>69</v>
      </c>
      <c r="E52" s="4">
        <v>345000</v>
      </c>
      <c r="F52" s="4">
        <v>335000</v>
      </c>
      <c r="G52" s="8">
        <f t="shared" si="0"/>
        <v>0.97101449275362317</v>
      </c>
      <c r="H52" s="6">
        <v>42513</v>
      </c>
      <c r="I52" s="6">
        <v>42544</v>
      </c>
    </row>
    <row r="53" spans="1:9" x14ac:dyDescent="0.2">
      <c r="A53" s="2">
        <v>52</v>
      </c>
      <c r="B53" s="3" t="s">
        <v>73</v>
      </c>
      <c r="C53" s="3" t="s">
        <v>36</v>
      </c>
      <c r="D53" s="3" t="s">
        <v>69</v>
      </c>
      <c r="E53" s="4">
        <v>375000</v>
      </c>
      <c r="F53" s="4">
        <v>330000</v>
      </c>
      <c r="G53" s="8">
        <f t="shared" si="0"/>
        <v>0.88</v>
      </c>
      <c r="H53" s="6">
        <v>42516</v>
      </c>
      <c r="I53" s="6">
        <v>42612</v>
      </c>
    </row>
    <row r="54" spans="1:9" x14ac:dyDescent="0.2">
      <c r="A54" s="2">
        <v>53</v>
      </c>
      <c r="B54" s="3" t="s">
        <v>74</v>
      </c>
      <c r="C54" s="3" t="s">
        <v>17</v>
      </c>
      <c r="D54" s="3" t="s">
        <v>15</v>
      </c>
      <c r="E54" s="4">
        <v>215000</v>
      </c>
      <c r="F54" s="4">
        <v>195000</v>
      </c>
      <c r="G54" s="8">
        <f t="shared" si="0"/>
        <v>0.90697674418604646</v>
      </c>
      <c r="H54" s="6">
        <v>42518</v>
      </c>
      <c r="I54" s="6">
        <v>42539</v>
      </c>
    </row>
    <row r="55" spans="1:9" x14ac:dyDescent="0.2">
      <c r="A55" s="2">
        <v>54</v>
      </c>
      <c r="B55" s="3" t="s">
        <v>75</v>
      </c>
      <c r="C55" s="3" t="s">
        <v>36</v>
      </c>
      <c r="D55" s="3" t="s">
        <v>69</v>
      </c>
      <c r="E55" s="4">
        <v>450000</v>
      </c>
      <c r="F55" s="4">
        <v>400000</v>
      </c>
      <c r="G55" s="8">
        <f t="shared" si="0"/>
        <v>0.88888888888888884</v>
      </c>
      <c r="H55" s="6">
        <v>42518</v>
      </c>
      <c r="I55" s="6">
        <v>42597</v>
      </c>
    </row>
    <row r="56" spans="1:9" x14ac:dyDescent="0.2">
      <c r="A56" s="2">
        <v>55</v>
      </c>
      <c r="B56" s="3" t="s">
        <v>76</v>
      </c>
      <c r="C56" s="3" t="s">
        <v>12</v>
      </c>
      <c r="D56" s="3" t="s">
        <v>13</v>
      </c>
      <c r="E56" s="4">
        <v>315250</v>
      </c>
      <c r="F56" s="4">
        <v>300000</v>
      </c>
      <c r="G56" s="8">
        <f t="shared" si="0"/>
        <v>0.95162569389373508</v>
      </c>
      <c r="H56" s="6">
        <v>42518</v>
      </c>
      <c r="I56" s="6">
        <v>42583</v>
      </c>
    </row>
    <row r="57" spans="1:9" x14ac:dyDescent="0.2">
      <c r="A57" s="2">
        <v>56</v>
      </c>
      <c r="B57" s="3" t="s">
        <v>77</v>
      </c>
      <c r="C57" s="3" t="s">
        <v>9</v>
      </c>
      <c r="D57" s="3" t="s">
        <v>13</v>
      </c>
      <c r="E57" s="4">
        <v>475000</v>
      </c>
      <c r="F57" s="4">
        <v>450000</v>
      </c>
      <c r="G57" s="8">
        <f t="shared" si="0"/>
        <v>0.94736842105263153</v>
      </c>
      <c r="H57" s="6">
        <v>42521</v>
      </c>
      <c r="I57" s="6">
        <v>42601</v>
      </c>
    </row>
    <row r="58" spans="1:9" x14ac:dyDescent="0.2">
      <c r="A58" s="2">
        <v>57</v>
      </c>
      <c r="B58" s="3" t="s">
        <v>78</v>
      </c>
      <c r="C58" s="3" t="s">
        <v>36</v>
      </c>
      <c r="D58" s="3" t="s">
        <v>32</v>
      </c>
      <c r="E58" s="4">
        <v>400000</v>
      </c>
      <c r="F58" s="4">
        <v>375000</v>
      </c>
      <c r="G58" s="8">
        <f t="shared" si="0"/>
        <v>0.9375</v>
      </c>
      <c r="H58" s="6">
        <v>42521</v>
      </c>
      <c r="I58" s="6">
        <v>42566</v>
      </c>
    </row>
    <row r="59" spans="1:9" x14ac:dyDescent="0.2">
      <c r="A59" s="2">
        <v>58</v>
      </c>
      <c r="B59" s="3" t="s">
        <v>79</v>
      </c>
      <c r="C59" s="3" t="s">
        <v>12</v>
      </c>
      <c r="D59" s="3" t="s">
        <v>80</v>
      </c>
      <c r="E59" s="4">
        <v>316000</v>
      </c>
      <c r="F59" s="4">
        <v>316000</v>
      </c>
      <c r="G59" s="8">
        <f t="shared" si="0"/>
        <v>1</v>
      </c>
      <c r="H59" s="6">
        <v>42521</v>
      </c>
      <c r="I59" s="6">
        <v>42551</v>
      </c>
    </row>
    <row r="60" spans="1:9" x14ac:dyDescent="0.2">
      <c r="A60" s="2">
        <v>59</v>
      </c>
      <c r="B60" s="3" t="s">
        <v>81</v>
      </c>
      <c r="C60" s="3" t="s">
        <v>9</v>
      </c>
      <c r="D60" s="3" t="s">
        <v>32</v>
      </c>
      <c r="E60" s="4">
        <v>289900</v>
      </c>
      <c r="F60" s="4">
        <v>279000</v>
      </c>
      <c r="G60" s="8">
        <f t="shared" si="0"/>
        <v>0.96240082787167991</v>
      </c>
      <c r="H60" s="6">
        <v>42521</v>
      </c>
      <c r="I60" s="6">
        <v>42522</v>
      </c>
    </row>
    <row r="61" spans="1:9" x14ac:dyDescent="0.2">
      <c r="A61" s="2">
        <v>60</v>
      </c>
      <c r="B61" s="3" t="s">
        <v>82</v>
      </c>
      <c r="C61" s="3" t="s">
        <v>12</v>
      </c>
      <c r="D61" s="3" t="s">
        <v>13</v>
      </c>
      <c r="E61" s="4">
        <v>345000</v>
      </c>
      <c r="F61" s="4">
        <v>330000</v>
      </c>
      <c r="G61" s="8">
        <f t="shared" si="0"/>
        <v>0.95652173913043481</v>
      </c>
      <c r="H61" s="6">
        <v>42522</v>
      </c>
      <c r="I61" s="6">
        <v>42597</v>
      </c>
    </row>
    <row r="62" spans="1:9" x14ac:dyDescent="0.2">
      <c r="A62" s="2">
        <v>61</v>
      </c>
      <c r="B62" s="3" t="s">
        <v>83</v>
      </c>
      <c r="C62" s="3" t="s">
        <v>17</v>
      </c>
      <c r="D62" s="3" t="s">
        <v>69</v>
      </c>
      <c r="E62" s="4">
        <v>259900</v>
      </c>
      <c r="F62" s="4">
        <v>246905</v>
      </c>
      <c r="G62" s="8">
        <f t="shared" si="0"/>
        <v>0.95</v>
      </c>
      <c r="H62" s="6">
        <v>42523</v>
      </c>
      <c r="I62" s="6">
        <v>42615</v>
      </c>
    </row>
    <row r="63" spans="1:9" x14ac:dyDescent="0.2">
      <c r="A63" s="2">
        <v>62</v>
      </c>
      <c r="B63" s="3" t="s">
        <v>84</v>
      </c>
      <c r="C63" s="3" t="s">
        <v>36</v>
      </c>
      <c r="D63" s="3" t="s">
        <v>80</v>
      </c>
      <c r="E63" s="4">
        <v>399000</v>
      </c>
      <c r="F63" s="4">
        <v>350000</v>
      </c>
      <c r="G63" s="8">
        <f t="shared" si="0"/>
        <v>0.8771929824561403</v>
      </c>
      <c r="H63" s="6">
        <v>42523</v>
      </c>
      <c r="I63" s="6">
        <v>42704</v>
      </c>
    </row>
    <row r="64" spans="1:9" x14ac:dyDescent="0.2">
      <c r="A64" s="2">
        <v>63</v>
      </c>
      <c r="B64" s="3" t="s">
        <v>85</v>
      </c>
      <c r="C64" s="3" t="s">
        <v>36</v>
      </c>
      <c r="D64" s="3" t="s">
        <v>13</v>
      </c>
      <c r="E64" s="4">
        <v>410000</v>
      </c>
      <c r="F64" s="4">
        <v>350750</v>
      </c>
      <c r="G64" s="8">
        <f t="shared" si="0"/>
        <v>0.85548780487804876</v>
      </c>
      <c r="H64" s="6">
        <v>42524</v>
      </c>
      <c r="I64" s="6">
        <v>42658</v>
      </c>
    </row>
    <row r="65" spans="1:9" x14ac:dyDescent="0.2">
      <c r="A65" s="2">
        <v>64</v>
      </c>
      <c r="B65" s="3" t="s">
        <v>86</v>
      </c>
      <c r="C65" s="3" t="s">
        <v>36</v>
      </c>
      <c r="D65" s="3" t="s">
        <v>52</v>
      </c>
      <c r="E65" s="4">
        <v>285750</v>
      </c>
      <c r="F65" s="4">
        <v>300000</v>
      </c>
      <c r="G65" s="8">
        <f t="shared" si="0"/>
        <v>1.0498687664041995</v>
      </c>
      <c r="H65" s="6">
        <v>42526</v>
      </c>
      <c r="I65" s="6">
        <v>42552</v>
      </c>
    </row>
    <row r="66" spans="1:9" x14ac:dyDescent="0.2">
      <c r="A66" s="2">
        <v>65</v>
      </c>
      <c r="B66" s="3" t="s">
        <v>87</v>
      </c>
      <c r="C66" s="3" t="s">
        <v>21</v>
      </c>
      <c r="D66" s="3" t="s">
        <v>24</v>
      </c>
      <c r="E66" s="4">
        <v>189900</v>
      </c>
      <c r="F66" s="4">
        <v>186102</v>
      </c>
      <c r="G66" s="8">
        <f t="shared" si="0"/>
        <v>0.98</v>
      </c>
      <c r="H66" s="6">
        <v>42527</v>
      </c>
      <c r="I66" s="6">
        <v>42577</v>
      </c>
    </row>
    <row r="67" spans="1:9" x14ac:dyDescent="0.2">
      <c r="A67" s="2">
        <v>66</v>
      </c>
      <c r="B67" s="3" t="s">
        <v>88</v>
      </c>
      <c r="C67" s="3" t="s">
        <v>12</v>
      </c>
      <c r="D67" s="3" t="s">
        <v>15</v>
      </c>
      <c r="E67" s="4">
        <v>335000</v>
      </c>
      <c r="F67" s="4">
        <v>330000</v>
      </c>
      <c r="G67" s="8">
        <f t="shared" ref="G67:G82" si="1">F67/E67</f>
        <v>0.9850746268656716</v>
      </c>
      <c r="H67" s="6">
        <v>42531</v>
      </c>
      <c r="I67" s="6">
        <v>42628</v>
      </c>
    </row>
    <row r="68" spans="1:9" x14ac:dyDescent="0.2">
      <c r="A68" s="2">
        <v>67</v>
      </c>
      <c r="B68" s="3" t="s">
        <v>89</v>
      </c>
      <c r="C68" s="3" t="s">
        <v>36</v>
      </c>
      <c r="D68" s="3" t="s">
        <v>24</v>
      </c>
      <c r="E68" s="4">
        <v>250000</v>
      </c>
      <c r="F68" s="4">
        <v>275000</v>
      </c>
      <c r="G68" s="8">
        <f t="shared" si="1"/>
        <v>1.1000000000000001</v>
      </c>
      <c r="H68" s="6">
        <v>42533</v>
      </c>
      <c r="I68" s="6">
        <v>42546</v>
      </c>
    </row>
    <row r="69" spans="1:9" x14ac:dyDescent="0.2">
      <c r="A69" s="2">
        <v>68</v>
      </c>
      <c r="B69" s="3" t="s">
        <v>90</v>
      </c>
      <c r="C69" s="3" t="s">
        <v>9</v>
      </c>
      <c r="D69" s="3" t="s">
        <v>18</v>
      </c>
      <c r="E69" s="4">
        <v>275000</v>
      </c>
      <c r="F69" s="4">
        <v>264000</v>
      </c>
      <c r="G69" s="8">
        <f t="shared" si="1"/>
        <v>0.96</v>
      </c>
      <c r="H69" s="6">
        <v>42534</v>
      </c>
      <c r="I69" s="6">
        <v>42572</v>
      </c>
    </row>
    <row r="70" spans="1:9" x14ac:dyDescent="0.2">
      <c r="A70" s="2">
        <v>69</v>
      </c>
      <c r="B70" s="3" t="s">
        <v>91</v>
      </c>
      <c r="C70" s="3" t="s">
        <v>21</v>
      </c>
      <c r="D70" s="3" t="s">
        <v>24</v>
      </c>
      <c r="E70" s="4">
        <v>589000</v>
      </c>
      <c r="F70" s="4">
        <v>575000</v>
      </c>
      <c r="G70" s="8">
        <f t="shared" si="1"/>
        <v>0.97623089983022071</v>
      </c>
      <c r="H70" s="6">
        <v>42539</v>
      </c>
      <c r="I70" s="6">
        <v>42559</v>
      </c>
    </row>
    <row r="71" spans="1:9" x14ac:dyDescent="0.2">
      <c r="A71" s="2">
        <v>70</v>
      </c>
      <c r="B71" s="3" t="s">
        <v>92</v>
      </c>
      <c r="C71" s="3" t="s">
        <v>12</v>
      </c>
      <c r="D71" s="3" t="s">
        <v>10</v>
      </c>
      <c r="E71" s="4">
        <v>345670</v>
      </c>
      <c r="F71" s="4">
        <v>345000</v>
      </c>
      <c r="G71" s="8">
        <f t="shared" si="1"/>
        <v>0.99806173518095298</v>
      </c>
      <c r="H71" s="6">
        <v>42541</v>
      </c>
      <c r="I71" s="6">
        <v>42643</v>
      </c>
    </row>
    <row r="72" spans="1:9" x14ac:dyDescent="0.2">
      <c r="A72" s="2">
        <v>71</v>
      </c>
      <c r="B72" s="3" t="s">
        <v>93</v>
      </c>
      <c r="C72" s="3" t="s">
        <v>9</v>
      </c>
      <c r="D72" s="3" t="s">
        <v>10</v>
      </c>
      <c r="E72" s="4">
        <v>254500</v>
      </c>
      <c r="F72" s="4">
        <v>236685</v>
      </c>
      <c r="G72" s="8">
        <f t="shared" si="1"/>
        <v>0.93</v>
      </c>
      <c r="H72" s="6">
        <v>42544</v>
      </c>
      <c r="I72" s="6">
        <v>42634</v>
      </c>
    </row>
    <row r="73" spans="1:9" x14ac:dyDescent="0.2">
      <c r="A73" s="2">
        <v>72</v>
      </c>
      <c r="B73" s="3" t="s">
        <v>94</v>
      </c>
      <c r="C73" s="3" t="s">
        <v>36</v>
      </c>
      <c r="D73" s="3" t="s">
        <v>32</v>
      </c>
      <c r="E73" s="4">
        <v>300000</v>
      </c>
      <c r="F73" s="4">
        <v>250000</v>
      </c>
      <c r="G73" s="8">
        <f t="shared" si="1"/>
        <v>0.83333333333333337</v>
      </c>
      <c r="H73" s="6">
        <v>42544</v>
      </c>
      <c r="I73" s="6">
        <v>42676</v>
      </c>
    </row>
    <row r="74" spans="1:9" x14ac:dyDescent="0.2">
      <c r="A74" s="2">
        <v>73</v>
      </c>
      <c r="B74" s="3" t="s">
        <v>95</v>
      </c>
      <c r="C74" s="3" t="s">
        <v>9</v>
      </c>
      <c r="D74" s="3" t="s">
        <v>13</v>
      </c>
      <c r="E74" s="4">
        <v>555000</v>
      </c>
      <c r="F74" s="4">
        <v>565000</v>
      </c>
      <c r="G74" s="8">
        <f t="shared" si="1"/>
        <v>1.0180180180180181</v>
      </c>
      <c r="H74" s="6">
        <v>42545</v>
      </c>
      <c r="I74" s="6">
        <v>42551</v>
      </c>
    </row>
    <row r="75" spans="1:9" x14ac:dyDescent="0.2">
      <c r="A75" s="2">
        <v>74</v>
      </c>
      <c r="B75" s="3" t="s">
        <v>96</v>
      </c>
      <c r="C75" s="3" t="s">
        <v>36</v>
      </c>
      <c r="D75" s="3" t="s">
        <v>69</v>
      </c>
      <c r="E75" s="4">
        <v>275900</v>
      </c>
      <c r="F75" s="4">
        <v>250000</v>
      </c>
      <c r="G75" s="8">
        <f t="shared" si="1"/>
        <v>0.90612540775643347</v>
      </c>
      <c r="H75" s="6">
        <v>42545</v>
      </c>
      <c r="I75" s="6">
        <v>42597</v>
      </c>
    </row>
    <row r="76" spans="1:9" x14ac:dyDescent="0.2">
      <c r="A76" s="2">
        <v>75</v>
      </c>
      <c r="B76" s="3" t="s">
        <v>97</v>
      </c>
      <c r="C76" s="3" t="s">
        <v>21</v>
      </c>
      <c r="D76" s="3" t="s">
        <v>15</v>
      </c>
      <c r="E76" s="4">
        <v>475000</v>
      </c>
      <c r="F76" s="4">
        <v>455000</v>
      </c>
      <c r="G76" s="8">
        <f t="shared" si="1"/>
        <v>0.95789473684210524</v>
      </c>
      <c r="H76" s="6">
        <v>42545</v>
      </c>
      <c r="I76" s="6">
        <v>42631</v>
      </c>
    </row>
    <row r="77" spans="1:9" x14ac:dyDescent="0.2">
      <c r="A77" s="2">
        <v>76</v>
      </c>
      <c r="B77" s="3" t="s">
        <v>98</v>
      </c>
      <c r="C77" s="3" t="s">
        <v>17</v>
      </c>
      <c r="D77" s="3" t="s">
        <v>69</v>
      </c>
      <c r="E77" s="4">
        <v>165900</v>
      </c>
      <c r="F77" s="4">
        <v>159264</v>
      </c>
      <c r="G77" s="8">
        <f t="shared" si="1"/>
        <v>0.96</v>
      </c>
      <c r="H77" s="6">
        <v>42550</v>
      </c>
      <c r="I77" s="6">
        <v>42619</v>
      </c>
    </row>
    <row r="78" spans="1:9" x14ac:dyDescent="0.2">
      <c r="A78" s="2">
        <v>77</v>
      </c>
      <c r="B78" s="3" t="s">
        <v>99</v>
      </c>
      <c r="C78" s="3" t="s">
        <v>36</v>
      </c>
      <c r="D78" s="3" t="s">
        <v>46</v>
      </c>
      <c r="E78" s="4">
        <v>299999</v>
      </c>
      <c r="F78" s="4">
        <v>280000</v>
      </c>
      <c r="G78" s="8">
        <f t="shared" si="1"/>
        <v>0.9333364444548149</v>
      </c>
      <c r="H78" s="6">
        <v>42550</v>
      </c>
      <c r="I78" s="6">
        <v>42643</v>
      </c>
    </row>
    <row r="79" spans="1:9" x14ac:dyDescent="0.2">
      <c r="A79" s="2">
        <v>78</v>
      </c>
      <c r="B79" s="3" t="s">
        <v>100</v>
      </c>
      <c r="C79" s="3" t="s">
        <v>12</v>
      </c>
      <c r="D79" s="3" t="s">
        <v>13</v>
      </c>
      <c r="E79" s="4">
        <v>400000</v>
      </c>
      <c r="F79" s="4">
        <v>400000</v>
      </c>
      <c r="G79" s="8">
        <f t="shared" si="1"/>
        <v>1</v>
      </c>
      <c r="H79" s="6">
        <v>42551</v>
      </c>
      <c r="I79" s="6">
        <v>42566</v>
      </c>
    </row>
    <row r="80" spans="1:9" x14ac:dyDescent="0.2">
      <c r="A80" s="2">
        <v>79</v>
      </c>
      <c r="B80" s="3" t="s">
        <v>101</v>
      </c>
      <c r="C80" s="3" t="s">
        <v>36</v>
      </c>
      <c r="D80" s="3" t="s">
        <v>46</v>
      </c>
      <c r="E80" s="4">
        <v>339999</v>
      </c>
      <c r="F80" s="4">
        <v>310000</v>
      </c>
      <c r="G80" s="8">
        <f t="shared" si="1"/>
        <v>0.91176738755113984</v>
      </c>
      <c r="H80" s="6">
        <v>42551</v>
      </c>
      <c r="I80" s="6">
        <v>42644</v>
      </c>
    </row>
    <row r="81" spans="1:9" x14ac:dyDescent="0.2">
      <c r="A81" s="2">
        <v>80</v>
      </c>
      <c r="B81" s="3" t="s">
        <v>102</v>
      </c>
      <c r="C81" s="3" t="s">
        <v>12</v>
      </c>
      <c r="D81" s="3" t="s">
        <v>15</v>
      </c>
      <c r="E81" s="4">
        <v>380500</v>
      </c>
      <c r="F81" s="4">
        <v>365000</v>
      </c>
      <c r="G81" s="8">
        <f t="shared" si="1"/>
        <v>0.95926412614980294</v>
      </c>
      <c r="H81" s="6">
        <v>42551</v>
      </c>
      <c r="I81" s="6">
        <v>42614</v>
      </c>
    </row>
    <row r="82" spans="1:9" x14ac:dyDescent="0.2">
      <c r="A82" s="2">
        <v>81</v>
      </c>
      <c r="B82" s="3" t="s">
        <v>103</v>
      </c>
      <c r="C82" s="3" t="s">
        <v>9</v>
      </c>
      <c r="D82" s="3" t="s">
        <v>52</v>
      </c>
      <c r="E82" s="4">
        <v>245900</v>
      </c>
      <c r="F82" s="4">
        <v>233605</v>
      </c>
      <c r="G82" s="8">
        <f t="shared" si="1"/>
        <v>0.95</v>
      </c>
      <c r="H82" s="6">
        <v>42551</v>
      </c>
      <c r="I82" s="6">
        <v>42598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I96"/>
  <sheetViews>
    <sheetView workbookViewId="0">
      <selection activeCell="F2" sqref="F2"/>
    </sheetView>
  </sheetViews>
  <sheetFormatPr defaultRowHeight="12.75" x14ac:dyDescent="0.2"/>
  <cols>
    <col min="2" max="2" width="21.85546875" bestFit="1" customWidth="1"/>
    <col min="3" max="3" width="14" bestFit="1" customWidth="1"/>
    <col min="4" max="4" width="13.42578125" bestFit="1" customWidth="1"/>
    <col min="5" max="6" width="14" bestFit="1" customWidth="1"/>
    <col min="7" max="7" width="14" customWidth="1"/>
    <col min="8" max="8" width="10.85546875" bestFit="1" customWidth="1"/>
    <col min="9" max="9" width="10.140625" bestFit="1" customWidth="1"/>
  </cols>
  <sheetData>
    <row r="5" spans="1:9" x14ac:dyDescent="0.2">
      <c r="A5" s="7" t="s">
        <v>104</v>
      </c>
      <c r="B5" s="7"/>
      <c r="C5" s="7"/>
      <c r="D5" s="7"/>
      <c r="E5" s="7"/>
      <c r="F5" s="7"/>
      <c r="G5" s="7"/>
      <c r="H5" s="7"/>
      <c r="I5" s="7"/>
    </row>
    <row r="6" spans="1:9" x14ac:dyDescent="0.2">
      <c r="A6" s="9" t="s">
        <v>0</v>
      </c>
      <c r="B6" s="10" t="s">
        <v>1</v>
      </c>
      <c r="C6" s="10" t="s">
        <v>2</v>
      </c>
      <c r="D6" s="10" t="s">
        <v>3</v>
      </c>
      <c r="E6" s="10" t="s">
        <v>4</v>
      </c>
      <c r="F6" s="10" t="s">
        <v>5</v>
      </c>
      <c r="G6" s="10" t="s">
        <v>105</v>
      </c>
      <c r="H6" s="10" t="s">
        <v>6</v>
      </c>
      <c r="I6" s="10" t="s">
        <v>7</v>
      </c>
    </row>
    <row r="7" spans="1:9" x14ac:dyDescent="0.2">
      <c r="C7" s="11"/>
    </row>
    <row r="10" spans="1:9" x14ac:dyDescent="0.2">
      <c r="A10" s="9" t="s">
        <v>0</v>
      </c>
      <c r="B10" s="10" t="s">
        <v>1</v>
      </c>
      <c r="C10" s="10" t="s">
        <v>2</v>
      </c>
      <c r="D10" s="10" t="s">
        <v>3</v>
      </c>
      <c r="E10" s="10" t="s">
        <v>4</v>
      </c>
      <c r="F10" s="10" t="s">
        <v>5</v>
      </c>
      <c r="G10" s="10" t="s">
        <v>105</v>
      </c>
      <c r="H10" s="10" t="s">
        <v>6</v>
      </c>
      <c r="I10" s="10" t="s">
        <v>7</v>
      </c>
    </row>
    <row r="11" spans="1:9" x14ac:dyDescent="0.2">
      <c r="A11" s="2">
        <v>1</v>
      </c>
      <c r="B11" s="3" t="s">
        <v>8</v>
      </c>
      <c r="C11" s="3" t="s">
        <v>9</v>
      </c>
      <c r="D11" s="3" t="s">
        <v>10</v>
      </c>
      <c r="E11" s="4">
        <v>725000</v>
      </c>
      <c r="F11" s="4">
        <v>645250</v>
      </c>
      <c r="G11" s="8">
        <v>0.89</v>
      </c>
      <c r="H11" s="5">
        <v>42461</v>
      </c>
      <c r="I11" s="6">
        <v>42537</v>
      </c>
    </row>
    <row r="12" spans="1:9" x14ac:dyDescent="0.2">
      <c r="A12" s="2">
        <v>2</v>
      </c>
      <c r="B12" s="3" t="s">
        <v>11</v>
      </c>
      <c r="C12" s="3" t="s">
        <v>12</v>
      </c>
      <c r="D12" s="3" t="s">
        <v>13</v>
      </c>
      <c r="E12" s="4">
        <v>350000</v>
      </c>
      <c r="F12" s="4">
        <v>340000</v>
      </c>
      <c r="G12" s="8">
        <v>0.97142857142857142</v>
      </c>
      <c r="H12" s="5">
        <v>42461</v>
      </c>
      <c r="I12" s="6">
        <v>42505</v>
      </c>
    </row>
    <row r="13" spans="1:9" x14ac:dyDescent="0.2">
      <c r="A13" s="2">
        <v>3</v>
      </c>
      <c r="B13" s="3" t="s">
        <v>14</v>
      </c>
      <c r="C13" s="3" t="s">
        <v>12</v>
      </c>
      <c r="D13" s="3" t="s">
        <v>15</v>
      </c>
      <c r="E13" s="4">
        <v>418000</v>
      </c>
      <c r="F13" s="4">
        <v>400000</v>
      </c>
      <c r="G13" s="8">
        <v>0.9569377990430622</v>
      </c>
      <c r="H13" s="5">
        <v>42461</v>
      </c>
      <c r="I13" s="6">
        <v>42522</v>
      </c>
    </row>
    <row r="14" spans="1:9" x14ac:dyDescent="0.2">
      <c r="A14" s="2">
        <v>4</v>
      </c>
      <c r="B14" s="3" t="s">
        <v>16</v>
      </c>
      <c r="C14" s="3" t="s">
        <v>17</v>
      </c>
      <c r="D14" s="3" t="s">
        <v>18</v>
      </c>
      <c r="E14" s="4">
        <v>215800</v>
      </c>
      <c r="F14" s="4">
        <v>200000</v>
      </c>
      <c r="G14" s="8">
        <v>0.92678405931417984</v>
      </c>
      <c r="H14" s="5">
        <v>42461</v>
      </c>
      <c r="I14" s="6">
        <v>42515</v>
      </c>
    </row>
    <row r="15" spans="1:9" s="1" customFormat="1" x14ac:dyDescent="0.2">
      <c r="A15" s="2">
        <v>5</v>
      </c>
      <c r="B15" s="3" t="s">
        <v>19</v>
      </c>
      <c r="C15" s="3" t="s">
        <v>12</v>
      </c>
      <c r="D15" s="3" t="s">
        <v>15</v>
      </c>
      <c r="E15" s="4">
        <v>385900</v>
      </c>
      <c r="F15" s="4">
        <v>385900</v>
      </c>
      <c r="G15" s="8">
        <v>1</v>
      </c>
      <c r="H15" s="5">
        <v>42461</v>
      </c>
      <c r="I15" s="6">
        <v>42490</v>
      </c>
    </row>
    <row r="16" spans="1:9" x14ac:dyDescent="0.2">
      <c r="A16" s="2">
        <v>6</v>
      </c>
      <c r="B16" s="3" t="s">
        <v>20</v>
      </c>
      <c r="C16" s="3" t="s">
        <v>21</v>
      </c>
      <c r="D16" s="3" t="s">
        <v>13</v>
      </c>
      <c r="E16" s="4">
        <v>500000</v>
      </c>
      <c r="F16" s="4">
        <v>465000</v>
      </c>
      <c r="G16" s="8">
        <v>0.93</v>
      </c>
      <c r="H16" s="6">
        <v>42463</v>
      </c>
      <c r="I16" s="6">
        <v>42531</v>
      </c>
    </row>
    <row r="17" spans="1:9" x14ac:dyDescent="0.2">
      <c r="A17" s="2">
        <v>7</v>
      </c>
      <c r="B17" s="3" t="s">
        <v>22</v>
      </c>
      <c r="C17" s="3" t="s">
        <v>17</v>
      </c>
      <c r="D17" s="3" t="s">
        <v>18</v>
      </c>
      <c r="E17" s="4">
        <v>300000</v>
      </c>
      <c r="F17" s="4">
        <v>290000</v>
      </c>
      <c r="G17" s="8">
        <v>0.96666666666666667</v>
      </c>
      <c r="H17" s="6">
        <v>42463</v>
      </c>
      <c r="I17" s="6">
        <v>42522</v>
      </c>
    </row>
    <row r="18" spans="1:9" x14ac:dyDescent="0.2">
      <c r="A18" s="2">
        <v>8</v>
      </c>
      <c r="B18" s="3" t="s">
        <v>23</v>
      </c>
      <c r="C18" s="3" t="s">
        <v>12</v>
      </c>
      <c r="D18" s="3" t="s">
        <v>24</v>
      </c>
      <c r="E18" s="4">
        <v>565000</v>
      </c>
      <c r="F18" s="4">
        <v>535000</v>
      </c>
      <c r="G18" s="8">
        <v>0.94690265486725667</v>
      </c>
      <c r="H18" s="6">
        <v>42466</v>
      </c>
      <c r="I18" s="6">
        <v>42643</v>
      </c>
    </row>
    <row r="19" spans="1:9" x14ac:dyDescent="0.2">
      <c r="A19" s="2">
        <v>9</v>
      </c>
      <c r="B19" s="3" t="s">
        <v>25</v>
      </c>
      <c r="C19" s="3" t="s">
        <v>21</v>
      </c>
      <c r="D19" s="3" t="s">
        <v>18</v>
      </c>
      <c r="E19" s="4">
        <v>219000</v>
      </c>
      <c r="F19" s="4">
        <v>215000</v>
      </c>
      <c r="G19" s="8">
        <v>0.9817351598173516</v>
      </c>
      <c r="H19" s="6">
        <v>42468</v>
      </c>
      <c r="I19" s="6">
        <v>42523</v>
      </c>
    </row>
    <row r="20" spans="1:9" x14ac:dyDescent="0.2">
      <c r="A20" s="2">
        <v>10</v>
      </c>
      <c r="B20" s="3" t="s">
        <v>26</v>
      </c>
      <c r="C20" s="3" t="s">
        <v>17</v>
      </c>
      <c r="D20" s="3" t="s">
        <v>24</v>
      </c>
      <c r="E20" s="4">
        <v>165000</v>
      </c>
      <c r="F20" s="4">
        <v>156750</v>
      </c>
      <c r="G20" s="8">
        <v>0.95</v>
      </c>
      <c r="H20" s="6">
        <v>42472</v>
      </c>
      <c r="I20" s="6">
        <v>42533</v>
      </c>
    </row>
    <row r="21" spans="1:9" x14ac:dyDescent="0.2">
      <c r="A21" s="2">
        <v>11</v>
      </c>
      <c r="B21" s="3" t="s">
        <v>27</v>
      </c>
      <c r="C21" s="3" t="s">
        <v>12</v>
      </c>
      <c r="D21" s="3" t="s">
        <v>10</v>
      </c>
      <c r="E21" s="4">
        <v>325000</v>
      </c>
      <c r="F21" s="4">
        <v>320000</v>
      </c>
      <c r="G21" s="8">
        <v>0.98461538461538467</v>
      </c>
      <c r="H21" s="6">
        <v>42472</v>
      </c>
      <c r="I21" s="6">
        <v>42520</v>
      </c>
    </row>
    <row r="22" spans="1:9" x14ac:dyDescent="0.2">
      <c r="A22" s="2">
        <v>12</v>
      </c>
      <c r="B22" s="3" t="s">
        <v>28</v>
      </c>
      <c r="C22" s="3" t="s">
        <v>21</v>
      </c>
      <c r="D22" s="3" t="s">
        <v>15</v>
      </c>
      <c r="E22" s="4">
        <v>750250</v>
      </c>
      <c r="F22" s="4">
        <v>700000</v>
      </c>
      <c r="G22" s="8">
        <v>0.93302232589136957</v>
      </c>
      <c r="H22" s="6">
        <v>42472</v>
      </c>
      <c r="I22" s="6">
        <v>42675</v>
      </c>
    </row>
    <row r="23" spans="1:9" x14ac:dyDescent="0.2">
      <c r="A23" s="2">
        <v>13</v>
      </c>
      <c r="B23" s="3" t="s">
        <v>29</v>
      </c>
      <c r="C23" s="3" t="s">
        <v>17</v>
      </c>
      <c r="D23" s="3" t="s">
        <v>15</v>
      </c>
      <c r="E23" s="4">
        <v>110000</v>
      </c>
      <c r="F23" s="4">
        <v>106000</v>
      </c>
      <c r="G23" s="8">
        <v>0.96363636363636362</v>
      </c>
      <c r="H23" s="6">
        <v>42472</v>
      </c>
      <c r="I23" s="6">
        <v>42554</v>
      </c>
    </row>
    <row r="24" spans="1:9" x14ac:dyDescent="0.2">
      <c r="A24" s="2">
        <v>14</v>
      </c>
      <c r="B24" s="3" t="s">
        <v>30</v>
      </c>
      <c r="C24" s="3" t="s">
        <v>12</v>
      </c>
      <c r="D24" s="3" t="s">
        <v>13</v>
      </c>
      <c r="E24" s="4">
        <v>314250</v>
      </c>
      <c r="F24" s="4">
        <v>304000</v>
      </c>
      <c r="G24" s="8">
        <v>0.96738265712016702</v>
      </c>
      <c r="H24" s="6">
        <v>42473</v>
      </c>
      <c r="I24" s="6">
        <v>42587</v>
      </c>
    </row>
    <row r="25" spans="1:9" x14ac:dyDescent="0.2">
      <c r="A25" s="2">
        <v>15</v>
      </c>
      <c r="B25" s="3" t="s">
        <v>31</v>
      </c>
      <c r="C25" s="3" t="s">
        <v>12</v>
      </c>
      <c r="D25" s="3" t="s">
        <v>32</v>
      </c>
      <c r="E25" s="4">
        <v>555000</v>
      </c>
      <c r="F25" s="4">
        <v>500000</v>
      </c>
      <c r="G25" s="8">
        <v>0.90090090090090091</v>
      </c>
      <c r="H25" s="6">
        <v>42473</v>
      </c>
      <c r="I25" s="6">
        <v>42658</v>
      </c>
    </row>
    <row r="26" spans="1:9" x14ac:dyDescent="0.2">
      <c r="A26" s="2">
        <v>16</v>
      </c>
      <c r="B26" s="3" t="s">
        <v>33</v>
      </c>
      <c r="C26" s="3" t="s">
        <v>21</v>
      </c>
      <c r="D26" s="3" t="s">
        <v>32</v>
      </c>
      <c r="E26" s="4">
        <v>450000</v>
      </c>
      <c r="F26" s="4">
        <v>382500</v>
      </c>
      <c r="G26" s="8">
        <v>0.85</v>
      </c>
      <c r="H26" s="6">
        <v>42475</v>
      </c>
      <c r="I26" s="6">
        <v>42551</v>
      </c>
    </row>
    <row r="27" spans="1:9" x14ac:dyDescent="0.2">
      <c r="A27" s="2">
        <v>17</v>
      </c>
      <c r="B27" s="3" t="s">
        <v>34</v>
      </c>
      <c r="C27" s="3" t="s">
        <v>21</v>
      </c>
      <c r="D27" s="3" t="s">
        <v>24</v>
      </c>
      <c r="E27" s="4">
        <v>345000</v>
      </c>
      <c r="F27" s="4">
        <v>339999</v>
      </c>
      <c r="G27" s="8">
        <v>0.98550434782608698</v>
      </c>
      <c r="H27" s="6">
        <v>42478</v>
      </c>
      <c r="I27" s="6">
        <v>42544</v>
      </c>
    </row>
    <row r="28" spans="1:9" x14ac:dyDescent="0.2">
      <c r="A28" s="2">
        <v>18</v>
      </c>
      <c r="B28" s="3" t="s">
        <v>35</v>
      </c>
      <c r="C28" s="3" t="s">
        <v>36</v>
      </c>
      <c r="D28" s="3" t="s">
        <v>10</v>
      </c>
      <c r="E28" s="4">
        <v>300000</v>
      </c>
      <c r="F28" s="4">
        <v>300000</v>
      </c>
      <c r="G28" s="8">
        <v>1</v>
      </c>
      <c r="H28" s="6">
        <v>42478</v>
      </c>
      <c r="I28" s="6">
        <v>42490</v>
      </c>
    </row>
    <row r="29" spans="1:9" x14ac:dyDescent="0.2">
      <c r="A29" s="2">
        <v>19</v>
      </c>
      <c r="B29" s="3" t="s">
        <v>37</v>
      </c>
      <c r="C29" s="3" t="s">
        <v>12</v>
      </c>
      <c r="D29" s="3" t="s">
        <v>15</v>
      </c>
      <c r="E29" s="4">
        <v>425000</v>
      </c>
      <c r="F29" s="4">
        <v>415000</v>
      </c>
      <c r="G29" s="8">
        <v>0.97647058823529409</v>
      </c>
      <c r="H29" s="6">
        <v>42478</v>
      </c>
      <c r="I29" s="6">
        <v>42551</v>
      </c>
    </row>
    <row r="30" spans="1:9" x14ac:dyDescent="0.2">
      <c r="A30" s="2">
        <v>20</v>
      </c>
      <c r="B30" s="3" t="s">
        <v>38</v>
      </c>
      <c r="C30" s="3" t="s">
        <v>21</v>
      </c>
      <c r="D30" s="3" t="s">
        <v>24</v>
      </c>
      <c r="E30" s="4">
        <v>325000</v>
      </c>
      <c r="F30" s="4">
        <v>308750</v>
      </c>
      <c r="G30" s="8">
        <v>0.95</v>
      </c>
      <c r="H30" s="6">
        <v>42479</v>
      </c>
      <c r="I30" s="6">
        <v>42553</v>
      </c>
    </row>
    <row r="31" spans="1:9" x14ac:dyDescent="0.2">
      <c r="A31" s="2">
        <v>21</v>
      </c>
      <c r="B31" s="3" t="s">
        <v>39</v>
      </c>
      <c r="C31" s="3" t="s">
        <v>17</v>
      </c>
      <c r="D31" s="3" t="s">
        <v>10</v>
      </c>
      <c r="E31" s="4">
        <v>325000</v>
      </c>
      <c r="F31" s="4">
        <v>302250</v>
      </c>
      <c r="G31" s="8">
        <v>0.93</v>
      </c>
      <c r="H31" s="6">
        <v>42488</v>
      </c>
      <c r="I31" s="6">
        <v>42522</v>
      </c>
    </row>
    <row r="32" spans="1:9" x14ac:dyDescent="0.2">
      <c r="A32" s="2">
        <v>22</v>
      </c>
      <c r="B32" s="3" t="s">
        <v>40</v>
      </c>
      <c r="C32" s="3" t="s">
        <v>36</v>
      </c>
      <c r="D32" s="3" t="s">
        <v>18</v>
      </c>
      <c r="E32" s="4">
        <v>325000</v>
      </c>
      <c r="F32" s="4">
        <v>320000</v>
      </c>
      <c r="G32" s="8">
        <v>0.98461538461538467</v>
      </c>
      <c r="H32" s="6">
        <v>42488</v>
      </c>
      <c r="I32" s="6">
        <v>42518</v>
      </c>
    </row>
    <row r="33" spans="1:9" x14ac:dyDescent="0.2">
      <c r="A33" s="2">
        <v>23</v>
      </c>
      <c r="B33" s="3" t="s">
        <v>41</v>
      </c>
      <c r="C33" s="3" t="s">
        <v>36</v>
      </c>
      <c r="D33" s="3" t="s">
        <v>24</v>
      </c>
      <c r="E33" s="4">
        <v>285750</v>
      </c>
      <c r="F33" s="4">
        <v>300000</v>
      </c>
      <c r="G33" s="8">
        <v>1.0498687664041995</v>
      </c>
      <c r="H33" s="6">
        <v>42488</v>
      </c>
      <c r="I33" s="6">
        <v>42524</v>
      </c>
    </row>
    <row r="34" spans="1:9" x14ac:dyDescent="0.2">
      <c r="A34" s="2">
        <v>24</v>
      </c>
      <c r="B34" s="3" t="s">
        <v>42</v>
      </c>
      <c r="C34" s="3" t="s">
        <v>12</v>
      </c>
      <c r="D34" s="3" t="s">
        <v>18</v>
      </c>
      <c r="E34" s="4">
        <v>425815</v>
      </c>
      <c r="F34" s="4">
        <v>400000</v>
      </c>
      <c r="G34" s="8">
        <v>0.93937508072754605</v>
      </c>
      <c r="H34" s="6">
        <v>42488</v>
      </c>
      <c r="I34" s="6">
        <v>42628</v>
      </c>
    </row>
    <row r="35" spans="1:9" x14ac:dyDescent="0.2">
      <c r="A35" s="2">
        <v>25</v>
      </c>
      <c r="B35" s="3" t="s">
        <v>43</v>
      </c>
      <c r="C35" s="3" t="s">
        <v>12</v>
      </c>
      <c r="D35" s="3" t="s">
        <v>15</v>
      </c>
      <c r="E35" s="4">
        <v>250000</v>
      </c>
      <c r="F35" s="4">
        <v>232000</v>
      </c>
      <c r="G35" s="8">
        <v>0.92800000000000005</v>
      </c>
      <c r="H35" s="6">
        <v>42489</v>
      </c>
      <c r="I35" s="6">
        <v>42614</v>
      </c>
    </row>
    <row r="36" spans="1:9" x14ac:dyDescent="0.2">
      <c r="A36" s="2">
        <v>26</v>
      </c>
      <c r="B36" s="3" t="s">
        <v>44</v>
      </c>
      <c r="C36" s="3" t="s">
        <v>36</v>
      </c>
      <c r="D36" s="3" t="s">
        <v>18</v>
      </c>
      <c r="E36" s="4">
        <v>515000</v>
      </c>
      <c r="F36" s="4">
        <v>485750</v>
      </c>
      <c r="G36" s="8">
        <v>0.94320388349514561</v>
      </c>
      <c r="H36" s="6">
        <v>42489</v>
      </c>
      <c r="I36" s="6">
        <v>42607</v>
      </c>
    </row>
    <row r="37" spans="1:9" x14ac:dyDescent="0.2">
      <c r="A37" s="2">
        <v>27</v>
      </c>
      <c r="B37" s="3" t="s">
        <v>45</v>
      </c>
      <c r="C37" s="3" t="s">
        <v>21</v>
      </c>
      <c r="D37" s="3" t="s">
        <v>46</v>
      </c>
      <c r="E37" s="4">
        <v>400000</v>
      </c>
      <c r="F37" s="4">
        <v>375000</v>
      </c>
      <c r="G37" s="8">
        <v>0.9375</v>
      </c>
      <c r="H37" s="6">
        <v>42490</v>
      </c>
      <c r="I37" s="6">
        <v>42540</v>
      </c>
    </row>
    <row r="38" spans="1:9" x14ac:dyDescent="0.2">
      <c r="A38" s="2">
        <v>28</v>
      </c>
      <c r="B38" s="3" t="s">
        <v>47</v>
      </c>
      <c r="C38" s="3" t="s">
        <v>36</v>
      </c>
      <c r="D38" s="3" t="s">
        <v>10</v>
      </c>
      <c r="E38" s="4">
        <v>450000</v>
      </c>
      <c r="F38" s="4">
        <v>400000</v>
      </c>
      <c r="G38" s="8">
        <v>0.88888888888888884</v>
      </c>
      <c r="H38" s="6">
        <v>42490</v>
      </c>
      <c r="I38" s="6">
        <v>42644</v>
      </c>
    </row>
    <row r="39" spans="1:9" x14ac:dyDescent="0.2">
      <c r="A39" s="2">
        <v>29</v>
      </c>
      <c r="B39" s="3" t="s">
        <v>48</v>
      </c>
      <c r="C39" s="3" t="s">
        <v>36</v>
      </c>
      <c r="D39" s="3" t="s">
        <v>46</v>
      </c>
      <c r="E39" s="4">
        <v>310000</v>
      </c>
      <c r="F39" s="4">
        <v>300000</v>
      </c>
      <c r="G39" s="8">
        <v>0.967741935483871</v>
      </c>
      <c r="H39" s="6">
        <v>42490</v>
      </c>
      <c r="I39" s="6">
        <v>42552</v>
      </c>
    </row>
    <row r="40" spans="1:9" x14ac:dyDescent="0.2">
      <c r="A40" s="2">
        <v>30</v>
      </c>
      <c r="B40" s="3" t="s">
        <v>49</v>
      </c>
      <c r="C40" s="3" t="s">
        <v>17</v>
      </c>
      <c r="D40" s="3" t="s">
        <v>10</v>
      </c>
      <c r="E40" s="4">
        <v>250000</v>
      </c>
      <c r="F40" s="4">
        <v>255000</v>
      </c>
      <c r="G40" s="8">
        <v>1.02</v>
      </c>
      <c r="H40" s="6">
        <v>42491</v>
      </c>
      <c r="I40" s="6">
        <v>42539</v>
      </c>
    </row>
    <row r="41" spans="1:9" x14ac:dyDescent="0.2">
      <c r="A41" s="2">
        <v>31</v>
      </c>
      <c r="B41" s="3" t="s">
        <v>50</v>
      </c>
      <c r="C41" s="3" t="s">
        <v>36</v>
      </c>
      <c r="D41" s="3" t="s">
        <v>46</v>
      </c>
      <c r="E41" s="4">
        <v>375500</v>
      </c>
      <c r="F41" s="4">
        <v>375500</v>
      </c>
      <c r="G41" s="8">
        <v>1</v>
      </c>
      <c r="H41" s="6">
        <v>42491</v>
      </c>
      <c r="I41" s="6">
        <v>42495</v>
      </c>
    </row>
    <row r="42" spans="1:9" x14ac:dyDescent="0.2">
      <c r="A42" s="2">
        <v>32</v>
      </c>
      <c r="B42" s="3" t="s">
        <v>51</v>
      </c>
      <c r="C42" s="3" t="s">
        <v>9</v>
      </c>
      <c r="D42" s="3" t="s">
        <v>52</v>
      </c>
      <c r="E42" s="4">
        <v>185500</v>
      </c>
      <c r="F42" s="4">
        <v>179000</v>
      </c>
      <c r="G42" s="8">
        <v>0.96495956873315369</v>
      </c>
      <c r="H42" s="6">
        <v>42491</v>
      </c>
      <c r="I42" s="6">
        <v>42527</v>
      </c>
    </row>
    <row r="43" spans="1:9" x14ac:dyDescent="0.2">
      <c r="A43" s="2">
        <v>33</v>
      </c>
      <c r="B43" s="3" t="s">
        <v>53</v>
      </c>
      <c r="C43" s="3" t="s">
        <v>36</v>
      </c>
      <c r="D43" s="3" t="s">
        <v>15</v>
      </c>
      <c r="E43" s="4">
        <v>395000</v>
      </c>
      <c r="F43" s="4">
        <v>375000</v>
      </c>
      <c r="G43" s="8">
        <v>0.94936708860759489</v>
      </c>
      <c r="H43" s="6">
        <v>42491</v>
      </c>
      <c r="I43" s="6">
        <v>42567</v>
      </c>
    </row>
    <row r="44" spans="1:9" x14ac:dyDescent="0.2">
      <c r="A44" s="2">
        <v>34</v>
      </c>
      <c r="B44" s="3" t="s">
        <v>54</v>
      </c>
      <c r="C44" s="3" t="s">
        <v>9</v>
      </c>
      <c r="D44" s="3" t="s">
        <v>13</v>
      </c>
      <c r="E44" s="4">
        <v>410000</v>
      </c>
      <c r="F44" s="4">
        <v>397700</v>
      </c>
      <c r="G44" s="8">
        <v>0.97</v>
      </c>
      <c r="H44" s="6">
        <v>42491</v>
      </c>
      <c r="I44" s="6">
        <v>42547</v>
      </c>
    </row>
    <row r="45" spans="1:9" x14ac:dyDescent="0.2">
      <c r="A45" s="2">
        <v>35</v>
      </c>
      <c r="B45" s="3" t="s">
        <v>55</v>
      </c>
      <c r="C45" s="3" t="s">
        <v>9</v>
      </c>
      <c r="D45" s="3" t="s">
        <v>10</v>
      </c>
      <c r="E45" s="4">
        <v>560700</v>
      </c>
      <c r="F45" s="4">
        <v>550000</v>
      </c>
      <c r="G45" s="8">
        <v>0.98091671125378987</v>
      </c>
      <c r="H45" s="6">
        <v>42491</v>
      </c>
      <c r="I45" s="6">
        <v>42520</v>
      </c>
    </row>
    <row r="46" spans="1:9" x14ac:dyDescent="0.2">
      <c r="A46" s="2">
        <v>36</v>
      </c>
      <c r="B46" s="3" t="s">
        <v>56</v>
      </c>
      <c r="C46" s="3" t="s">
        <v>12</v>
      </c>
      <c r="D46" s="3" t="s">
        <v>52</v>
      </c>
      <c r="E46" s="4">
        <v>450000</v>
      </c>
      <c r="F46" s="4">
        <v>400000</v>
      </c>
      <c r="G46" s="8">
        <v>0.88888888888888884</v>
      </c>
      <c r="H46" s="6">
        <v>42492</v>
      </c>
      <c r="I46" s="6">
        <v>42643</v>
      </c>
    </row>
    <row r="47" spans="1:9" x14ac:dyDescent="0.2">
      <c r="A47" s="2">
        <v>37</v>
      </c>
      <c r="B47" s="3" t="s">
        <v>57</v>
      </c>
      <c r="C47" s="3" t="s">
        <v>9</v>
      </c>
      <c r="D47" s="3" t="s">
        <v>18</v>
      </c>
      <c r="E47" s="4">
        <v>395000</v>
      </c>
      <c r="F47" s="4">
        <v>380000</v>
      </c>
      <c r="G47" s="8">
        <v>0.96202531645569622</v>
      </c>
      <c r="H47" s="6">
        <v>42495</v>
      </c>
      <c r="I47" s="6">
        <v>42567</v>
      </c>
    </row>
    <row r="48" spans="1:9" x14ac:dyDescent="0.2">
      <c r="A48" s="2">
        <v>38</v>
      </c>
      <c r="B48" s="3" t="s">
        <v>58</v>
      </c>
      <c r="C48" s="3" t="s">
        <v>36</v>
      </c>
      <c r="D48" s="3" t="s">
        <v>52</v>
      </c>
      <c r="E48" s="4">
        <v>475000</v>
      </c>
      <c r="F48" s="4">
        <v>425250</v>
      </c>
      <c r="G48" s="8">
        <v>0.89526315789473687</v>
      </c>
      <c r="H48" s="6">
        <v>42495</v>
      </c>
      <c r="I48" s="6">
        <v>42636</v>
      </c>
    </row>
    <row r="49" spans="1:9" x14ac:dyDescent="0.2">
      <c r="A49" s="2">
        <v>39</v>
      </c>
      <c r="B49" s="3" t="s">
        <v>59</v>
      </c>
      <c r="C49" s="3" t="s">
        <v>17</v>
      </c>
      <c r="D49" s="3" t="s">
        <v>10</v>
      </c>
      <c r="E49" s="4">
        <v>450000</v>
      </c>
      <c r="F49" s="4">
        <v>382500</v>
      </c>
      <c r="G49" s="8">
        <v>0.85</v>
      </c>
      <c r="H49" s="6">
        <v>42495</v>
      </c>
      <c r="I49" s="6">
        <v>42537</v>
      </c>
    </row>
    <row r="50" spans="1:9" x14ac:dyDescent="0.2">
      <c r="A50" s="2">
        <v>40</v>
      </c>
      <c r="B50" s="3" t="s">
        <v>60</v>
      </c>
      <c r="C50" s="3" t="s">
        <v>21</v>
      </c>
      <c r="D50" s="3" t="s">
        <v>15</v>
      </c>
      <c r="E50" s="4">
        <v>1500120</v>
      </c>
      <c r="F50" s="4">
        <v>1400000</v>
      </c>
      <c r="G50" s="8">
        <v>0.93325867263952222</v>
      </c>
      <c r="H50" s="6">
        <v>42495</v>
      </c>
      <c r="I50" s="6">
        <v>42643</v>
      </c>
    </row>
    <row r="51" spans="1:9" x14ac:dyDescent="0.2">
      <c r="A51" s="2">
        <v>41</v>
      </c>
      <c r="B51" s="3" t="s">
        <v>61</v>
      </c>
      <c r="C51" s="3" t="s">
        <v>36</v>
      </c>
      <c r="D51" s="3" t="s">
        <v>46</v>
      </c>
      <c r="E51" s="4">
        <v>500000</v>
      </c>
      <c r="F51" s="4">
        <v>425000</v>
      </c>
      <c r="G51" s="8">
        <v>0.85</v>
      </c>
      <c r="H51" s="6">
        <v>42495</v>
      </c>
      <c r="I51" s="6">
        <v>42689</v>
      </c>
    </row>
    <row r="52" spans="1:9" x14ac:dyDescent="0.2">
      <c r="A52" s="2">
        <v>42</v>
      </c>
      <c r="B52" s="3" t="s">
        <v>62</v>
      </c>
      <c r="C52" s="3" t="s">
        <v>36</v>
      </c>
      <c r="D52" s="3" t="s">
        <v>24</v>
      </c>
      <c r="E52" s="4">
        <v>460750</v>
      </c>
      <c r="F52" s="4">
        <v>435500</v>
      </c>
      <c r="G52" s="8">
        <v>0.94519804666304941</v>
      </c>
      <c r="H52" s="6">
        <v>42495</v>
      </c>
      <c r="I52" s="6">
        <v>42675</v>
      </c>
    </row>
    <row r="53" spans="1:9" x14ac:dyDescent="0.2">
      <c r="A53" s="2">
        <v>43</v>
      </c>
      <c r="B53" s="3" t="s">
        <v>63</v>
      </c>
      <c r="C53" s="3" t="s">
        <v>12</v>
      </c>
      <c r="D53" s="3" t="s">
        <v>15</v>
      </c>
      <c r="E53" s="4">
        <v>375000</v>
      </c>
      <c r="F53" s="4">
        <v>376000</v>
      </c>
      <c r="G53" s="8">
        <v>1.0026666666666666</v>
      </c>
      <c r="H53" s="6">
        <v>42496</v>
      </c>
      <c r="I53" s="6">
        <v>42505</v>
      </c>
    </row>
    <row r="54" spans="1:9" x14ac:dyDescent="0.2">
      <c r="A54" s="2">
        <v>44</v>
      </c>
      <c r="B54" s="3" t="s">
        <v>64</v>
      </c>
      <c r="C54" s="3" t="s">
        <v>21</v>
      </c>
      <c r="D54" s="3" t="s">
        <v>46</v>
      </c>
      <c r="E54" s="4">
        <v>1250000</v>
      </c>
      <c r="F54" s="4">
        <v>1225000</v>
      </c>
      <c r="G54" s="8">
        <v>0.98</v>
      </c>
      <c r="H54" s="6">
        <v>42502</v>
      </c>
      <c r="I54" s="6">
        <v>42527</v>
      </c>
    </row>
    <row r="55" spans="1:9" x14ac:dyDescent="0.2">
      <c r="A55" s="2">
        <v>45</v>
      </c>
      <c r="B55" s="3" t="s">
        <v>65</v>
      </c>
      <c r="C55" s="3" t="s">
        <v>12</v>
      </c>
      <c r="D55" s="3" t="s">
        <v>15</v>
      </c>
      <c r="E55" s="4">
        <v>365750</v>
      </c>
      <c r="F55" s="4">
        <v>355000</v>
      </c>
      <c r="G55" s="8">
        <v>0.9706083390293917</v>
      </c>
      <c r="H55" s="6">
        <v>42503</v>
      </c>
      <c r="I55" s="6">
        <v>42597</v>
      </c>
    </row>
    <row r="56" spans="1:9" x14ac:dyDescent="0.2">
      <c r="A56" s="2">
        <v>46</v>
      </c>
      <c r="B56" s="3" t="s">
        <v>66</v>
      </c>
      <c r="C56" s="3" t="s">
        <v>9</v>
      </c>
      <c r="D56" s="3" t="s">
        <v>13</v>
      </c>
      <c r="E56" s="4">
        <v>650000</v>
      </c>
      <c r="F56" s="4">
        <v>598000</v>
      </c>
      <c r="G56" s="8">
        <v>0.92</v>
      </c>
      <c r="H56" s="6">
        <v>42505</v>
      </c>
      <c r="I56" s="6">
        <v>42530</v>
      </c>
    </row>
    <row r="57" spans="1:9" x14ac:dyDescent="0.2">
      <c r="A57" s="2">
        <v>47</v>
      </c>
      <c r="B57" s="3" t="s">
        <v>67</v>
      </c>
      <c r="C57" s="3" t="s">
        <v>36</v>
      </c>
      <c r="D57" s="3" t="s">
        <v>32</v>
      </c>
      <c r="E57" s="4">
        <v>325000</v>
      </c>
      <c r="F57" s="4">
        <v>325000</v>
      </c>
      <c r="G57" s="8">
        <v>1</v>
      </c>
      <c r="H57" s="6">
        <v>42508</v>
      </c>
      <c r="I57" s="6">
        <v>42521</v>
      </c>
    </row>
    <row r="58" spans="1:9" x14ac:dyDescent="0.2">
      <c r="A58" s="2">
        <v>48</v>
      </c>
      <c r="B58" s="3" t="s">
        <v>68</v>
      </c>
      <c r="C58" s="3" t="s">
        <v>21</v>
      </c>
      <c r="D58" s="3" t="s">
        <v>69</v>
      </c>
      <c r="E58" s="4">
        <v>147800</v>
      </c>
      <c r="F58" s="4">
        <v>150000</v>
      </c>
      <c r="G58" s="8">
        <v>1.0148849797023005</v>
      </c>
      <c r="H58" s="6">
        <v>42512</v>
      </c>
      <c r="I58" s="6">
        <v>42537</v>
      </c>
    </row>
    <row r="59" spans="1:9" x14ac:dyDescent="0.2">
      <c r="A59" s="2">
        <v>49</v>
      </c>
      <c r="B59" s="3" t="s">
        <v>70</v>
      </c>
      <c r="C59" s="3" t="s">
        <v>17</v>
      </c>
      <c r="D59" s="3" t="s">
        <v>13</v>
      </c>
      <c r="E59" s="4">
        <v>180000</v>
      </c>
      <c r="F59" s="4">
        <v>175000</v>
      </c>
      <c r="G59" s="8">
        <v>0.97222222222222221</v>
      </c>
      <c r="H59" s="6">
        <v>42513</v>
      </c>
      <c r="I59" s="6">
        <v>42566</v>
      </c>
    </row>
    <row r="60" spans="1:9" x14ac:dyDescent="0.2">
      <c r="A60" s="2">
        <v>50</v>
      </c>
      <c r="B60" s="3" t="s">
        <v>71</v>
      </c>
      <c r="C60" s="3" t="s">
        <v>21</v>
      </c>
      <c r="D60" s="3" t="s">
        <v>52</v>
      </c>
      <c r="E60" s="4">
        <v>310000</v>
      </c>
      <c r="F60" s="4">
        <v>291400</v>
      </c>
      <c r="G60" s="8">
        <v>0.94</v>
      </c>
      <c r="H60" s="6">
        <v>42512</v>
      </c>
      <c r="I60" s="6">
        <v>42550</v>
      </c>
    </row>
    <row r="61" spans="1:9" x14ac:dyDescent="0.2">
      <c r="A61" s="2">
        <v>51</v>
      </c>
      <c r="B61" s="3" t="s">
        <v>72</v>
      </c>
      <c r="C61" s="3" t="s">
        <v>36</v>
      </c>
      <c r="D61" s="3" t="s">
        <v>69</v>
      </c>
      <c r="E61" s="4">
        <v>345000</v>
      </c>
      <c r="F61" s="4">
        <v>335000</v>
      </c>
      <c r="G61" s="8">
        <v>0.97101449275362317</v>
      </c>
      <c r="H61" s="6">
        <v>42513</v>
      </c>
      <c r="I61" s="6">
        <v>42544</v>
      </c>
    </row>
    <row r="62" spans="1:9" x14ac:dyDescent="0.2">
      <c r="A62" s="2">
        <v>52</v>
      </c>
      <c r="B62" s="3" t="s">
        <v>73</v>
      </c>
      <c r="C62" s="3" t="s">
        <v>36</v>
      </c>
      <c r="D62" s="3" t="s">
        <v>69</v>
      </c>
      <c r="E62" s="4">
        <v>375000</v>
      </c>
      <c r="F62" s="4">
        <v>330000</v>
      </c>
      <c r="G62" s="8">
        <v>0.88</v>
      </c>
      <c r="H62" s="6">
        <v>42516</v>
      </c>
      <c r="I62" s="6">
        <v>42612</v>
      </c>
    </row>
    <row r="63" spans="1:9" x14ac:dyDescent="0.2">
      <c r="A63" s="2">
        <v>53</v>
      </c>
      <c r="B63" s="3" t="s">
        <v>74</v>
      </c>
      <c r="C63" s="3" t="s">
        <v>17</v>
      </c>
      <c r="D63" s="3" t="s">
        <v>15</v>
      </c>
      <c r="E63" s="4">
        <v>215000</v>
      </c>
      <c r="F63" s="4">
        <v>195000</v>
      </c>
      <c r="G63" s="8">
        <v>0.90697674418604646</v>
      </c>
      <c r="H63" s="6">
        <v>42518</v>
      </c>
      <c r="I63" s="6">
        <v>42539</v>
      </c>
    </row>
    <row r="64" spans="1:9" x14ac:dyDescent="0.2">
      <c r="A64" s="2">
        <v>54</v>
      </c>
      <c r="B64" s="3" t="s">
        <v>75</v>
      </c>
      <c r="C64" s="3" t="s">
        <v>36</v>
      </c>
      <c r="D64" s="3" t="s">
        <v>69</v>
      </c>
      <c r="E64" s="4">
        <v>450000</v>
      </c>
      <c r="F64" s="4">
        <v>400000</v>
      </c>
      <c r="G64" s="8">
        <v>0.88888888888888884</v>
      </c>
      <c r="H64" s="6">
        <v>42518</v>
      </c>
      <c r="I64" s="6">
        <v>42597</v>
      </c>
    </row>
    <row r="65" spans="1:9" x14ac:dyDescent="0.2">
      <c r="A65" s="2">
        <v>55</v>
      </c>
      <c r="B65" s="3" t="s">
        <v>76</v>
      </c>
      <c r="C65" s="3" t="s">
        <v>12</v>
      </c>
      <c r="D65" s="3" t="s">
        <v>13</v>
      </c>
      <c r="E65" s="4">
        <v>315250</v>
      </c>
      <c r="F65" s="4">
        <v>300000</v>
      </c>
      <c r="G65" s="8">
        <v>0.95162569389373508</v>
      </c>
      <c r="H65" s="6">
        <v>42518</v>
      </c>
      <c r="I65" s="6">
        <v>42583</v>
      </c>
    </row>
    <row r="66" spans="1:9" x14ac:dyDescent="0.2">
      <c r="A66" s="2">
        <v>56</v>
      </c>
      <c r="B66" s="3" t="s">
        <v>77</v>
      </c>
      <c r="C66" s="3" t="s">
        <v>9</v>
      </c>
      <c r="D66" s="3" t="s">
        <v>13</v>
      </c>
      <c r="E66" s="4">
        <v>475000</v>
      </c>
      <c r="F66" s="4">
        <v>450000</v>
      </c>
      <c r="G66" s="8">
        <v>0.94736842105263153</v>
      </c>
      <c r="H66" s="6">
        <v>42521</v>
      </c>
      <c r="I66" s="6">
        <v>42601</v>
      </c>
    </row>
    <row r="67" spans="1:9" x14ac:dyDescent="0.2">
      <c r="A67" s="2">
        <v>57</v>
      </c>
      <c r="B67" s="3" t="s">
        <v>78</v>
      </c>
      <c r="C67" s="3" t="s">
        <v>36</v>
      </c>
      <c r="D67" s="3" t="s">
        <v>32</v>
      </c>
      <c r="E67" s="4">
        <v>400000</v>
      </c>
      <c r="F67" s="4">
        <v>375000</v>
      </c>
      <c r="G67" s="8">
        <v>0.9375</v>
      </c>
      <c r="H67" s="6">
        <v>42521</v>
      </c>
      <c r="I67" s="6">
        <v>42566</v>
      </c>
    </row>
    <row r="68" spans="1:9" x14ac:dyDescent="0.2">
      <c r="A68" s="2">
        <v>58</v>
      </c>
      <c r="B68" s="3" t="s">
        <v>79</v>
      </c>
      <c r="C68" s="3" t="s">
        <v>12</v>
      </c>
      <c r="D68" s="3" t="s">
        <v>80</v>
      </c>
      <c r="E68" s="4">
        <v>316000</v>
      </c>
      <c r="F68" s="4">
        <v>316000</v>
      </c>
      <c r="G68" s="8">
        <v>1</v>
      </c>
      <c r="H68" s="6">
        <v>42521</v>
      </c>
      <c r="I68" s="6">
        <v>42551</v>
      </c>
    </row>
    <row r="69" spans="1:9" x14ac:dyDescent="0.2">
      <c r="A69" s="2">
        <v>59</v>
      </c>
      <c r="B69" s="3" t="s">
        <v>81</v>
      </c>
      <c r="C69" s="3" t="s">
        <v>9</v>
      </c>
      <c r="D69" s="3" t="s">
        <v>32</v>
      </c>
      <c r="E69" s="4">
        <v>289900</v>
      </c>
      <c r="F69" s="4">
        <v>279000</v>
      </c>
      <c r="G69" s="8">
        <v>0.96240082787167991</v>
      </c>
      <c r="H69" s="6">
        <v>42521</v>
      </c>
      <c r="I69" s="6">
        <v>42522</v>
      </c>
    </row>
    <row r="70" spans="1:9" x14ac:dyDescent="0.2">
      <c r="A70" s="2">
        <v>60</v>
      </c>
      <c r="B70" s="3" t="s">
        <v>82</v>
      </c>
      <c r="C70" s="3" t="s">
        <v>12</v>
      </c>
      <c r="D70" s="3" t="s">
        <v>13</v>
      </c>
      <c r="E70" s="4">
        <v>345000</v>
      </c>
      <c r="F70" s="4">
        <v>330000</v>
      </c>
      <c r="G70" s="8">
        <v>0.95652173913043481</v>
      </c>
      <c r="H70" s="6">
        <v>42522</v>
      </c>
      <c r="I70" s="6">
        <v>42597</v>
      </c>
    </row>
    <row r="71" spans="1:9" x14ac:dyDescent="0.2">
      <c r="A71" s="2">
        <v>61</v>
      </c>
      <c r="B71" s="3" t="s">
        <v>83</v>
      </c>
      <c r="C71" s="3" t="s">
        <v>17</v>
      </c>
      <c r="D71" s="3" t="s">
        <v>69</v>
      </c>
      <c r="E71" s="4">
        <v>259900</v>
      </c>
      <c r="F71" s="4">
        <v>246905</v>
      </c>
      <c r="G71" s="8">
        <v>0.95</v>
      </c>
      <c r="H71" s="6">
        <v>42523</v>
      </c>
      <c r="I71" s="6">
        <v>42615</v>
      </c>
    </row>
    <row r="72" spans="1:9" x14ac:dyDescent="0.2">
      <c r="A72" s="2">
        <v>62</v>
      </c>
      <c r="B72" s="3" t="s">
        <v>84</v>
      </c>
      <c r="C72" s="3" t="s">
        <v>36</v>
      </c>
      <c r="D72" s="3" t="s">
        <v>80</v>
      </c>
      <c r="E72" s="4">
        <v>399000</v>
      </c>
      <c r="F72" s="4">
        <v>350000</v>
      </c>
      <c r="G72" s="8">
        <v>0.8771929824561403</v>
      </c>
      <c r="H72" s="6">
        <v>42523</v>
      </c>
      <c r="I72" s="6">
        <v>42704</v>
      </c>
    </row>
    <row r="73" spans="1:9" x14ac:dyDescent="0.2">
      <c r="A73" s="2">
        <v>63</v>
      </c>
      <c r="B73" s="3" t="s">
        <v>85</v>
      </c>
      <c r="C73" s="3" t="s">
        <v>36</v>
      </c>
      <c r="D73" s="3" t="s">
        <v>13</v>
      </c>
      <c r="E73" s="4">
        <v>410000</v>
      </c>
      <c r="F73" s="4">
        <v>350750</v>
      </c>
      <c r="G73" s="8">
        <v>0.85548780487804876</v>
      </c>
      <c r="H73" s="6">
        <v>42524</v>
      </c>
      <c r="I73" s="6">
        <v>42658</v>
      </c>
    </row>
    <row r="74" spans="1:9" x14ac:dyDescent="0.2">
      <c r="A74" s="2">
        <v>64</v>
      </c>
      <c r="B74" s="3" t="s">
        <v>86</v>
      </c>
      <c r="C74" s="3" t="s">
        <v>36</v>
      </c>
      <c r="D74" s="3" t="s">
        <v>52</v>
      </c>
      <c r="E74" s="4">
        <v>285750</v>
      </c>
      <c r="F74" s="4">
        <v>300000</v>
      </c>
      <c r="G74" s="8">
        <v>1.0498687664041995</v>
      </c>
      <c r="H74" s="6">
        <v>42526</v>
      </c>
      <c r="I74" s="6">
        <v>42552</v>
      </c>
    </row>
    <row r="75" spans="1:9" x14ac:dyDescent="0.2">
      <c r="A75" s="2">
        <v>65</v>
      </c>
      <c r="B75" s="3" t="s">
        <v>87</v>
      </c>
      <c r="C75" s="3" t="s">
        <v>21</v>
      </c>
      <c r="D75" s="3" t="s">
        <v>24</v>
      </c>
      <c r="E75" s="4">
        <v>189900</v>
      </c>
      <c r="F75" s="4">
        <v>186102</v>
      </c>
      <c r="G75" s="8">
        <v>0.98</v>
      </c>
      <c r="H75" s="6">
        <v>42527</v>
      </c>
      <c r="I75" s="6">
        <v>42577</v>
      </c>
    </row>
    <row r="76" spans="1:9" x14ac:dyDescent="0.2">
      <c r="A76" s="2">
        <v>66</v>
      </c>
      <c r="B76" s="3" t="s">
        <v>88</v>
      </c>
      <c r="C76" s="3" t="s">
        <v>12</v>
      </c>
      <c r="D76" s="3" t="s">
        <v>15</v>
      </c>
      <c r="E76" s="4">
        <v>335000</v>
      </c>
      <c r="F76" s="4">
        <v>330000</v>
      </c>
      <c r="G76" s="8">
        <v>0.9850746268656716</v>
      </c>
      <c r="H76" s="6">
        <v>42531</v>
      </c>
      <c r="I76" s="6">
        <v>42628</v>
      </c>
    </row>
    <row r="77" spans="1:9" x14ac:dyDescent="0.2">
      <c r="A77" s="2">
        <v>67</v>
      </c>
      <c r="B77" s="3" t="s">
        <v>89</v>
      </c>
      <c r="C77" s="3" t="s">
        <v>36</v>
      </c>
      <c r="D77" s="3" t="s">
        <v>24</v>
      </c>
      <c r="E77" s="4">
        <v>250000</v>
      </c>
      <c r="F77" s="4">
        <v>275000</v>
      </c>
      <c r="G77" s="8">
        <v>1.1000000000000001</v>
      </c>
      <c r="H77" s="6">
        <v>42533</v>
      </c>
      <c r="I77" s="6">
        <v>42546</v>
      </c>
    </row>
    <row r="78" spans="1:9" x14ac:dyDescent="0.2">
      <c r="A78" s="2">
        <v>68</v>
      </c>
      <c r="B78" s="3" t="s">
        <v>90</v>
      </c>
      <c r="C78" s="3" t="s">
        <v>9</v>
      </c>
      <c r="D78" s="3" t="s">
        <v>18</v>
      </c>
      <c r="E78" s="4">
        <v>275000</v>
      </c>
      <c r="F78" s="4">
        <v>264000</v>
      </c>
      <c r="G78" s="8">
        <v>0.96</v>
      </c>
      <c r="H78" s="6">
        <v>42534</v>
      </c>
      <c r="I78" s="6">
        <v>42572</v>
      </c>
    </row>
    <row r="79" spans="1:9" x14ac:dyDescent="0.2">
      <c r="A79" s="2">
        <v>69</v>
      </c>
      <c r="B79" s="3" t="s">
        <v>91</v>
      </c>
      <c r="C79" s="3" t="s">
        <v>21</v>
      </c>
      <c r="D79" s="3" t="s">
        <v>24</v>
      </c>
      <c r="E79" s="4">
        <v>589000</v>
      </c>
      <c r="F79" s="4">
        <v>575000</v>
      </c>
      <c r="G79" s="8">
        <v>0.97623089983022071</v>
      </c>
      <c r="H79" s="6">
        <v>42539</v>
      </c>
      <c r="I79" s="6">
        <v>42559</v>
      </c>
    </row>
    <row r="80" spans="1:9" x14ac:dyDescent="0.2">
      <c r="A80" s="2">
        <v>70</v>
      </c>
      <c r="B80" s="3" t="s">
        <v>92</v>
      </c>
      <c r="C80" s="3" t="s">
        <v>12</v>
      </c>
      <c r="D80" s="3" t="s">
        <v>10</v>
      </c>
      <c r="E80" s="4">
        <v>345670</v>
      </c>
      <c r="F80" s="4">
        <v>345000</v>
      </c>
      <c r="G80" s="8">
        <v>0.99806173518095298</v>
      </c>
      <c r="H80" s="6">
        <v>42541</v>
      </c>
      <c r="I80" s="6">
        <v>42643</v>
      </c>
    </row>
    <row r="81" spans="1:9" x14ac:dyDescent="0.2">
      <c r="A81" s="2">
        <v>71</v>
      </c>
      <c r="B81" s="3" t="s">
        <v>93</v>
      </c>
      <c r="C81" s="3" t="s">
        <v>9</v>
      </c>
      <c r="D81" s="3" t="s">
        <v>10</v>
      </c>
      <c r="E81" s="4">
        <v>254500</v>
      </c>
      <c r="F81" s="4">
        <v>236685</v>
      </c>
      <c r="G81" s="8">
        <v>0.93</v>
      </c>
      <c r="H81" s="6">
        <v>42544</v>
      </c>
      <c r="I81" s="6">
        <v>42634</v>
      </c>
    </row>
    <row r="82" spans="1:9" x14ac:dyDescent="0.2">
      <c r="A82" s="2">
        <v>72</v>
      </c>
      <c r="B82" s="3" t="s">
        <v>94</v>
      </c>
      <c r="C82" s="3" t="s">
        <v>36</v>
      </c>
      <c r="D82" s="3" t="s">
        <v>32</v>
      </c>
      <c r="E82" s="4">
        <v>300000</v>
      </c>
      <c r="F82" s="4">
        <v>250000</v>
      </c>
      <c r="G82" s="8">
        <v>0.83333333333333337</v>
      </c>
      <c r="H82" s="6">
        <v>42544</v>
      </c>
      <c r="I82" s="6">
        <v>42676</v>
      </c>
    </row>
    <row r="83" spans="1:9" x14ac:dyDescent="0.2">
      <c r="A83" s="2">
        <v>73</v>
      </c>
      <c r="B83" s="3" t="s">
        <v>95</v>
      </c>
      <c r="C83" s="3" t="s">
        <v>9</v>
      </c>
      <c r="D83" s="3" t="s">
        <v>13</v>
      </c>
      <c r="E83" s="4">
        <v>555000</v>
      </c>
      <c r="F83" s="4">
        <v>565000</v>
      </c>
      <c r="G83" s="8">
        <v>1.0180180180180181</v>
      </c>
      <c r="H83" s="6">
        <v>42545</v>
      </c>
      <c r="I83" s="6">
        <v>42551</v>
      </c>
    </row>
    <row r="84" spans="1:9" x14ac:dyDescent="0.2">
      <c r="A84" s="2">
        <v>74</v>
      </c>
      <c r="B84" s="3" t="s">
        <v>96</v>
      </c>
      <c r="C84" s="3" t="s">
        <v>36</v>
      </c>
      <c r="D84" s="3" t="s">
        <v>69</v>
      </c>
      <c r="E84" s="4">
        <v>275900</v>
      </c>
      <c r="F84" s="4">
        <v>250000</v>
      </c>
      <c r="G84" s="8">
        <v>0.90612540775643347</v>
      </c>
      <c r="H84" s="6">
        <v>42545</v>
      </c>
      <c r="I84" s="6">
        <v>42597</v>
      </c>
    </row>
    <row r="85" spans="1:9" x14ac:dyDescent="0.2">
      <c r="A85" s="2">
        <v>75</v>
      </c>
      <c r="B85" s="3" t="s">
        <v>97</v>
      </c>
      <c r="C85" s="3" t="s">
        <v>21</v>
      </c>
      <c r="D85" s="3" t="s">
        <v>15</v>
      </c>
      <c r="E85" s="4">
        <v>475000</v>
      </c>
      <c r="F85" s="4">
        <v>455000</v>
      </c>
      <c r="G85" s="8">
        <v>0.95789473684210524</v>
      </c>
      <c r="H85" s="6">
        <v>42545</v>
      </c>
      <c r="I85" s="6">
        <v>42631</v>
      </c>
    </row>
    <row r="86" spans="1:9" x14ac:dyDescent="0.2">
      <c r="A86" s="2">
        <v>76</v>
      </c>
      <c r="B86" s="3" t="s">
        <v>98</v>
      </c>
      <c r="C86" s="3" t="s">
        <v>17</v>
      </c>
      <c r="D86" s="3" t="s">
        <v>69</v>
      </c>
      <c r="E86" s="4">
        <v>165900</v>
      </c>
      <c r="F86" s="4">
        <v>159264</v>
      </c>
      <c r="G86" s="8">
        <v>0.96</v>
      </c>
      <c r="H86" s="6">
        <v>42550</v>
      </c>
      <c r="I86" s="6">
        <v>42619</v>
      </c>
    </row>
    <row r="87" spans="1:9" x14ac:dyDescent="0.2">
      <c r="A87" s="2">
        <v>77</v>
      </c>
      <c r="B87" s="3" t="s">
        <v>99</v>
      </c>
      <c r="C87" s="3" t="s">
        <v>36</v>
      </c>
      <c r="D87" s="3" t="s">
        <v>46</v>
      </c>
      <c r="E87" s="4">
        <v>299999</v>
      </c>
      <c r="F87" s="4">
        <v>280000</v>
      </c>
      <c r="G87" s="8">
        <v>0.9333364444548149</v>
      </c>
      <c r="H87" s="6">
        <v>42550</v>
      </c>
      <c r="I87" s="6">
        <v>42643</v>
      </c>
    </row>
    <row r="88" spans="1:9" x14ac:dyDescent="0.2">
      <c r="A88" s="2">
        <v>78</v>
      </c>
      <c r="B88" s="3" t="s">
        <v>100</v>
      </c>
      <c r="C88" s="3" t="s">
        <v>12</v>
      </c>
      <c r="D88" s="3" t="s">
        <v>13</v>
      </c>
      <c r="E88" s="4">
        <v>400000</v>
      </c>
      <c r="F88" s="4">
        <v>400000</v>
      </c>
      <c r="G88" s="8">
        <v>1</v>
      </c>
      <c r="H88" s="6">
        <v>42551</v>
      </c>
      <c r="I88" s="6">
        <v>42566</v>
      </c>
    </row>
    <row r="89" spans="1:9" x14ac:dyDescent="0.2">
      <c r="A89" s="2">
        <v>79</v>
      </c>
      <c r="B89" s="3" t="s">
        <v>101</v>
      </c>
      <c r="C89" s="3" t="s">
        <v>36</v>
      </c>
      <c r="D89" s="3" t="s">
        <v>46</v>
      </c>
      <c r="E89" s="4">
        <v>339999</v>
      </c>
      <c r="F89" s="4">
        <v>310000</v>
      </c>
      <c r="G89" s="8">
        <v>0.91176738755113984</v>
      </c>
      <c r="H89" s="6">
        <v>42551</v>
      </c>
      <c r="I89" s="6">
        <v>42644</v>
      </c>
    </row>
    <row r="90" spans="1:9" x14ac:dyDescent="0.2">
      <c r="A90" s="2">
        <v>80</v>
      </c>
      <c r="B90" s="3" t="s">
        <v>102</v>
      </c>
      <c r="C90" s="3" t="s">
        <v>12</v>
      </c>
      <c r="D90" s="3" t="s">
        <v>15</v>
      </c>
      <c r="E90" s="4">
        <v>380500</v>
      </c>
      <c r="F90" s="4">
        <v>365000</v>
      </c>
      <c r="G90" s="8">
        <v>0.95926412614980294</v>
      </c>
      <c r="H90" s="6">
        <v>42551</v>
      </c>
      <c r="I90" s="6">
        <v>42614</v>
      </c>
    </row>
    <row r="91" spans="1:9" x14ac:dyDescent="0.2">
      <c r="A91" s="2">
        <v>81</v>
      </c>
      <c r="B91" s="3" t="s">
        <v>103</v>
      </c>
      <c r="C91" s="3" t="s">
        <v>9</v>
      </c>
      <c r="D91" s="3" t="s">
        <v>52</v>
      </c>
      <c r="E91" s="4">
        <v>245900</v>
      </c>
      <c r="F91" s="4">
        <v>233605</v>
      </c>
      <c r="G91" s="8">
        <v>0.95</v>
      </c>
      <c r="H91" s="6">
        <v>42551</v>
      </c>
      <c r="I91" s="6">
        <v>42598</v>
      </c>
    </row>
    <row r="92" spans="1:9" x14ac:dyDescent="0.2">
      <c r="A92" s="2"/>
      <c r="B92" s="3"/>
      <c r="C92" s="3"/>
      <c r="D92" s="3"/>
      <c r="E92" s="4"/>
      <c r="F92" s="4"/>
      <c r="G92" s="8"/>
      <c r="H92" s="6"/>
      <c r="I92" s="6"/>
    </row>
    <row r="93" spans="1:9" x14ac:dyDescent="0.2">
      <c r="A93" s="2"/>
      <c r="B93" s="3"/>
      <c r="C93" s="3"/>
      <c r="D93" s="3"/>
      <c r="E93" s="4"/>
      <c r="F93" s="4"/>
      <c r="G93" s="8"/>
      <c r="H93" s="6"/>
      <c r="I93" s="6"/>
    </row>
    <row r="94" spans="1:9" x14ac:dyDescent="0.2">
      <c r="A94" s="2"/>
      <c r="B94" s="3"/>
      <c r="C94" s="3"/>
      <c r="D94" s="3"/>
      <c r="E94" s="4"/>
      <c r="F94" s="4"/>
      <c r="G94" s="8"/>
      <c r="H94" s="6"/>
      <c r="I94" s="6"/>
    </row>
    <row r="95" spans="1:9" x14ac:dyDescent="0.2">
      <c r="A95" s="2"/>
      <c r="B95" s="3"/>
      <c r="C95" s="3"/>
      <c r="D95" s="3"/>
      <c r="E95" s="4"/>
      <c r="F95" s="4"/>
      <c r="G95" s="8"/>
      <c r="H95" s="6"/>
      <c r="I95" s="6"/>
    </row>
    <row r="96" spans="1:9" x14ac:dyDescent="0.2">
      <c r="A96" s="2"/>
      <c r="B96" s="3"/>
      <c r="C96" s="3"/>
      <c r="D96" s="3"/>
      <c r="E96" s="4"/>
      <c r="F96" s="4"/>
      <c r="G96" s="8"/>
      <c r="H96" s="6"/>
      <c r="I96" s="6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Clear">
                <anchor moveWithCells="1" sizeWithCells="1">
                  <from>
                    <xdr:col>1</xdr:col>
                    <xdr:colOff>685800</xdr:colOff>
                    <xdr:row>0</xdr:row>
                    <xdr:rowOff>19050</xdr:rowOff>
                  </from>
                  <to>
                    <xdr:col>2</xdr:col>
                    <xdr:colOff>342900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ityAgentCombo">
                <anchor moveWithCells="1" sizeWithCells="1">
                  <from>
                    <xdr:col>2</xdr:col>
                    <xdr:colOff>800100</xdr:colOff>
                    <xdr:row>0</xdr:row>
                    <xdr:rowOff>9525</xdr:rowOff>
                  </from>
                  <to>
                    <xdr:col>4</xdr:col>
                    <xdr:colOff>209550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_xludf.Clear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495300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Sales Data</vt:lpstr>
      <vt:lpstr>Input-Output</vt:lpstr>
      <vt:lpstr>'Input-Output'!Criteria</vt:lpstr>
      <vt:lpstr>CriteriaRange</vt:lpstr>
      <vt:lpstr>Database</vt:lpstr>
      <vt:lpstr>'Input-Output'!Extract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Exploring Series</dc:creator>
  <cp:lastModifiedBy>Exploring Series</cp:lastModifiedBy>
  <dcterms:created xsi:type="dcterms:W3CDTF">2010-07-21T19:27:08Z</dcterms:created>
  <dcterms:modified xsi:type="dcterms:W3CDTF">2015-08-25T11:07:55Z</dcterms:modified>
</cp:coreProperties>
</file>